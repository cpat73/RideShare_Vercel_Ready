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77b72a89bb421f" /></Relationships>
</file>

<file path=xl/workbook.xml><?xml version="1.0" encoding="utf-8"?>
<x:workbook xmlns:x="http://schemas.openxmlformats.org/spreadsheetml/2006/main">
  <x:sheets>
    <x:sheet xmlns:r="http://schemas.openxmlformats.org/officeDocument/2006/relationships" name="Dashboard" sheetId="1" r:id="R8fd6c49fd1a04eea"/>
    <x:sheet xmlns:r="http://schemas.openxmlformats.org/officeDocument/2006/relationships" name="Inputs" sheetId="2" r:id="R92bd07c7de12495e"/>
    <x:sheet xmlns:r="http://schemas.openxmlformats.org/officeDocument/2006/relationships" name="Economics" sheetId="3" r:id="Ra45c02cd64054a90"/>
    <x:sheet xmlns:r="http://schemas.openxmlformats.org/officeDocument/2006/relationships" name="12-Month Forecast" sheetId="4" r:id="Rb3b78de4ef094e0b"/>
    <x:sheet xmlns:r="http://schemas.openxmlformats.org/officeDocument/2006/relationships" name="Sensitivity" sheetId="5" r:id="R656e09c583334245"/>
    <x:sheet xmlns:r="http://schemas.openxmlformats.org/officeDocument/2006/relationships" name="How to Use" sheetId="6" r:id="R6b9e0f9e82434ea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
    <x:numFmt numFmtId="202" formatCode="#,##0.0;[Red](#,##0.0);-"/>
    <x:numFmt numFmtId="203" formatCode="$#,##0.00;[Red]($#,##0.00);-"/>
    <x:numFmt numFmtId="204" formatCode="0.0%;[Red](0.0%);-"/>
    <x:numFmt numFmtId="205" formatCode="$#,##0;[Red]($#,##0);-"/>
    <x:numFmt numFmtId="206" formatCode="0%"/>
  </x:numFmts>
  <x:fonts count="21">
    <x:font>
      <x:sz val="11"/>
      <x:name val="Carlito"/>
    </x:font>
    <x:font>
      <x:b/>
      <x:sz val="17"/>
      <x:color rgb="FFFFFFFF"/>
      <x:name val="Aptos Display"/>
    </x:font>
    <x:font>
      <x:sz val="10"/>
      <x:color rgb="FF5C6B7C"/>
      <x:name val="Aptos"/>
    </x:font>
    <x:font>
      <x:b/>
      <x:sz val="10"/>
      <x:color rgb="FF101C32"/>
      <x:name val="Aptos"/>
    </x:font>
    <x:font>
      <x:b/>
      <x:sz val="10"/>
      <x:color rgb="FFFFFFFF"/>
      <x:name val="Aptos"/>
    </x:font>
    <x:font>
      <x:sz val="10"/>
      <x:color rgb="FF101C32"/>
      <x:name val="Aptos"/>
    </x:font>
    <x:font>
      <x:b/>
      <x:sz val="11"/>
      <x:color rgb="FF0000FF"/>
      <x:name val="Aptos"/>
    </x:font>
    <x:font>
      <x:sz val="9"/>
      <x:color rgb="FF5C6B7C"/>
      <x:name val="Aptos"/>
    </x:font>
    <x:font>
      <x:sz val="10"/>
      <x:color rgb="FF815E13"/>
      <x:name val="Aptos"/>
    </x:font>
    <x:font>
      <x:sz val="10"/>
      <x:color rgb="FF008000"/>
      <x:name val="Aptos"/>
    </x:font>
    <x:font>
      <x:sz val="10"/>
      <x:color rgb="FF000000"/>
      <x:name val="Aptos"/>
    </x:font>
    <x:font>
      <x:b/>
      <x:sz val="11"/>
      <x:color rgb="FF000000"/>
      <x:name val="Aptos"/>
    </x:font>
    <x:font>
      <x:sz val="11"/>
      <x:color rgb="FF101C32"/>
      <x:name val="Aptos"/>
    </x:font>
    <x:font>
      <x:sz val="10"/>
      <x:color rgb="FF8C2D36"/>
      <x:name val="Aptos"/>
    </x:font>
    <x:font>
      <x:b/>
      <x:sz val="9"/>
      <x:color rgb="FF101C32"/>
      <x:name val="Aptos"/>
    </x:font>
    <x:font>
      <x:b/>
      <x:sz val="9"/>
      <x:color rgb="FF5C6B7C"/>
      <x:name val="Aptos"/>
    </x:font>
    <x:font>
      <x:b/>
      <x:sz val="21"/>
      <x:color rgb="FF008000"/>
      <x:name val="Aptos Display"/>
    </x:font>
    <x:font>
      <x:sz val="10"/>
      <x:color rgb="FF805719"/>
      <x:name val="Aptos"/>
    </x:font>
    <x:font>
      <x:b/>
      <x:sz val="12"/>
      <x:color rgb="FFFFFFFF"/>
      <x:name val="Aptos"/>
    </x:font>
    <x:font>
      <x:sz val="9"/>
      <x:color rgb="FF101C32"/>
      <x:name val="Aptos"/>
    </x:font>
    <x:font>
      <x:sz val="9"/>
      <x:color rgb="FF0000FF"/>
      <x:name val="Aptos"/>
    </x:font>
  </x:fonts>
  <x:fills count="23">
    <x:fill>
      <x:patternFill patternType="none"/>
    </x:fill>
    <x:fill>
      <x:patternFill patternType="gray125"/>
    </x:fill>
    <x:fill>
      <x:patternFill patternType="solid">
        <x:fgColor rgb="FF101C32"/>
      </x:patternFill>
    </x:fill>
    <x:fill>
      <x:patternFill patternType="solid">
        <x:fgColor rgb="FFEAF1F6"/>
      </x:patternFill>
    </x:fill>
    <x:fill>
      <x:patternFill patternType="solid">
        <x:fgColor rgb="FFD9E8EF"/>
      </x:patternFill>
    </x:fill>
    <x:fill>
      <x:patternFill patternType="solid">
        <x:fgColor rgb="FF192A47"/>
      </x:patternFill>
    </x:fill>
    <x:fill>
      <x:patternFill patternType="solid">
        <x:fgColor rgb="FFFFF4C9"/>
      </x:patternFill>
    </x:fill>
    <x:fill>
      <x:patternFill patternType="solid">
        <x:fgColor rgb="FFFCECCF"/>
      </x:patternFill>
    </x:fill>
    <x:fill>
      <x:patternFill patternType="solid">
        <x:fgColor rgb="FFF4F7FB"/>
      </x:patternFill>
    </x:fill>
    <x:fill>
      <x:patternFill patternType="solid">
        <x:fgColor rgb="FFDEF3F0"/>
      </x:patternFill>
    </x:fill>
    <x:fill>
      <x:patternFill patternType="solid">
        <x:fgColor rgb="FFFFF2D8"/>
      </x:patternFill>
    </x:fill>
    <x:fill>
      <x:patternFill patternType="solid">
        <x:fgColor rgb="FFFCE4E5"/>
      </x:patternFill>
    </x:fill>
    <x:fill>
      <x:patternFill patternType="solid">
        <x:fgColor rgb="FFD8ECE9"/>
      </x:patternFill>
    </x:fill>
    <x:fill>
      <x:patternFill patternType="solid">
        <x:fgColor rgb="FFE1F0FF"/>
      </x:patternFill>
    </x:fill>
    <x:fill>
      <x:patternFill patternType="solid">
        <x:fgColor rgb="FFE0F4F0"/>
      </x:patternFill>
    </x:fill>
    <x:fill>
      <x:patternFill patternType="solid">
        <x:fgColor rgb="FFDEF4E1"/>
      </x:patternFill>
    </x:fill>
    <x:fill>
      <x:patternFill patternType="solid">
        <x:fgColor rgb="FFEFEAFF"/>
      </x:patternFill>
    </x:fill>
    <x:fill>
      <x:patternFill patternType="solid">
        <x:fgColor rgb="FFEEF1F7"/>
      </x:patternFill>
    </x:fill>
    <x:fill>
      <x:patternFill patternType="solid">
        <x:fgColor rgb="FFFFF2DE"/>
      </x:patternFill>
    </x:fill>
    <x:fill>
      <x:patternFill patternType="solid">
        <x:fgColor rgb="FFFFF0F0"/>
      </x:patternFill>
    </x:fill>
    <x:fill>
      <x:patternFill patternType="solid">
        <x:fgColor rgb="FFF4ECFB"/>
      </x:patternFill>
    </x:fill>
    <x:fill>
      <x:patternFill patternType="solid">
        <x:fgColor rgb="FFFFF1DD"/>
      </x:patternFill>
    </x:fill>
    <x:fill>
      <x:patternFill patternType="solid">
        <x:fgColor rgb="FF0B9B8B"/>
      </x:patternFill>
    </x:fill>
  </x:fills>
  <x:borders count="20">
    <x:border/>
    <x:border/>
    <x:border>
      <x:left style="thin">
        <x:color rgb="FFE2C871"/>
      </x:left>
      <x:right style="thin">
        <x:color rgb="FFE2C871"/>
      </x:right>
      <x:top style="thin">
        <x:color rgb="FFE2C871"/>
      </x:top>
      <x:bottom style="thin">
        <x:color rgb="FFE2C871"/>
      </x:bottom>
    </x:border>
    <x:border>
      <x:left style="thin">
        <x:color rgb="FFE2C871"/>
      </x:left>
      <x:right style="thin">
        <x:color rgb="FFE2C871"/>
      </x:right>
      <x:top style="thin">
        <x:color rgb="FFE2C871"/>
      </x:top>
      <x:bottom style="thin">
        <x:color rgb="FFE2C871"/>
      </x:bottom>
    </x:border>
    <x:border>
      <x:left style="thin">
        <x:color rgb="FFDCE5ED"/>
      </x:left>
      <x:top style="thin">
        <x:color rgb="FFDCE5ED"/>
      </x:top>
    </x:border>
    <x:border>
      <x:top style="thin">
        <x:color rgb="FFDCE5ED"/>
      </x:top>
    </x:border>
    <x:border>
      <x:right style="thin">
        <x:color rgb="FFDCE5ED"/>
      </x:right>
      <x:top style="thin">
        <x:color rgb="FFDCE5ED"/>
      </x:top>
    </x:border>
    <x:border>
      <x:left style="thin">
        <x:color rgb="FFDCE5ED"/>
      </x:left>
    </x:border>
    <x:border>
      <x:right style="thin">
        <x:color rgb="FFDCE5ED"/>
      </x:right>
    </x:border>
    <x:border>
      <x:left style="thin">
        <x:color rgb="FFDCE5ED"/>
      </x:left>
      <x:bottom style="thin">
        <x:color rgb="FFDCE5ED"/>
      </x:bottom>
    </x:border>
    <x:border>
      <x:bottom style="thin">
        <x:color rgb="FFDCE5ED"/>
      </x:bottom>
    </x:border>
    <x:border>
      <x:right style="thin">
        <x:color rgb="FFDCE5ED"/>
      </x:right>
      <x:bottom style="thin">
        <x:color rgb="FFDCE5ED"/>
      </x:bottom>
    </x:border>
    <x:border>
      <x:left style="thin">
        <x:color rgb="FFDCE5ED"/>
      </x:left>
      <x:top style="thin">
        <x:color rgb="FFDCE5ED"/>
      </x:top>
    </x:border>
    <x:border>
      <x:top style="thin">
        <x:color rgb="FFDCE5ED"/>
      </x:top>
    </x:border>
    <x:border>
      <x:right style="thin">
        <x:color rgb="FFDCE5ED"/>
      </x:right>
      <x:top style="thin">
        <x:color rgb="FFDCE5ED"/>
      </x:top>
    </x:border>
    <x:border>
      <x:left style="thin">
        <x:color rgb="FFDCE5ED"/>
      </x:left>
    </x:border>
    <x:border>
      <x:right style="thin">
        <x:color rgb="FFDCE5ED"/>
      </x:right>
    </x:border>
    <x:border>
      <x:left style="thin">
        <x:color rgb="FFDCE5ED"/>
      </x:left>
      <x:bottom style="thin">
        <x:color rgb="FFDCE5ED"/>
      </x:bottom>
    </x:border>
    <x:border>
      <x:bottom style="thin">
        <x:color rgb="FFDCE5ED"/>
      </x:bottom>
    </x:border>
    <x:border>
      <x:right style="thin">
        <x:color rgb="FFDCE5ED"/>
      </x:right>
      <x:bottom style="thin">
        <x:color rgb="FFDCE5ED"/>
      </x:bottom>
    </x:border>
  </x:borders>
  <x:cellStyleXfs count="1">
    <x:xf numFmtId="0" fontId="0" fillId="0" borderId="0"/>
  </x:cellStyleXfs>
  <x:cellXfs count="5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1" xfId="0" applyNumberFormat="1" applyFont="1" applyFill="1" applyBorder="1"/>
    <x:xf numFmtId="0" fontId="5" fillId="0" borderId="1"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horizontal="right"/>
    </x:xf>
    <x:xf numFmtId="0" fontId="6" fillId="6" borderId="2" xfId="0" applyNumberFormat="1" applyFont="1" applyFill="1" applyBorder="1" applyAlignment="1">
      <x:alignment horizontal="right" vertical="center"/>
    </x:xf>
    <x:xf numFmtId="0" fontId="0" fillId="6" borderId="1" xfId="0" applyNumberFormat="1" applyFont="1" applyFill="1" applyBorder="1"/>
    <x:xf numFmtId="0" fontId="6" fillId="6" borderId="1" xfId="0" applyNumberFormat="1" applyFont="1" applyFill="1" applyBorder="1"/>
    <x:xf numFmtId="0" fontId="6" fillId="6" borderId="3" xfId="0" applyNumberFormat="1" applyFont="1" applyFill="1" applyBorder="1"/>
    <x:xf numFmtId="0" fontId="6" fillId="6" borderId="3" xfId="0" applyNumberFormat="1" applyFont="1" applyFill="1" applyBorder="1" applyAlignment="1">
      <x:alignment horizontal="right"/>
    </x:xf>
    <x:xf numFmtId="0" fontId="6" fillId="6" borderId="3" xfId="0" applyNumberFormat="1" applyFont="1" applyFill="1" applyBorder="1" applyAlignment="1">
      <x:alignment horizontal="right" vertical="center"/>
    </x:xf>
    <x:xf numFmtId="200" fontId="6" fillId="6" borderId="2" xfId="0" applyNumberFormat="1" applyFont="1" applyFill="1" applyBorder="1" applyAlignment="1">
      <x:alignment horizontal="right" vertical="center"/>
    </x:xf>
    <x:xf numFmtId="200" fontId="6" fillId="6" borderId="3" xfId="0" applyNumberFormat="1" applyFont="1" applyFill="1" applyBorder="1" applyAlignment="1">
      <x:alignment horizontal="right" vertical="center"/>
    </x:xf>
    <x:xf numFmtId="0" fontId="7" fillId="0" borderId="0" xfId="0" applyNumberFormat="1" applyFont="1" applyFill="1" applyBorder="1"/>
    <x:xf numFmtId="0" fontId="7" fillId="0" borderId="0" xfId="0" applyNumberFormat="1" applyFont="1" applyFill="1" applyBorder="1" applyAlignment="1">
      <x:alignment horizontal="right"/>
    </x:xf>
    <x:xf numFmtId="0" fontId="7" fillId="0" borderId="1" xfId="0" applyNumberFormat="1" applyFont="1" applyFill="1" applyBorder="1"/>
    <x:xf numFmtId="0" fontId="7" fillId="0" borderId="1" xfId="0" applyNumberFormat="1" applyFont="1" applyFill="1" applyBorder="1" applyAlignment="1">
      <x:alignment horizontal="right"/>
    </x:xf>
    <x:xf numFmtId="200" fontId="7" fillId="0" borderId="0" xfId="0" applyNumberFormat="1" applyFont="1" applyFill="1" applyBorder="1" applyAlignment="1">
      <x:alignment horizontal="right"/>
    </x:xf>
    <x:xf numFmtId="200" fontId="7" fillId="0" borderId="1" xfId="0" applyNumberFormat="1" applyFont="1" applyFill="1" applyBorder="1" applyAlignment="1">
      <x:alignment horizontal="right"/>
    </x:xf>
    <x:xf numFmtId="201" fontId="0" fillId="0" borderId="0" xfId="0" applyNumberFormat="1" applyFont="1" applyFill="1" applyBorder="1"/>
    <x:xf numFmtId="201" fontId="0" fillId="0" borderId="1" xfId="0" applyNumberFormat="1" applyFont="1" applyFill="1" applyBorder="1"/>
    <x:xf numFmtId="202" fontId="6" fillId="6" borderId="2" xfId="0" applyNumberFormat="1" applyFont="1" applyFill="1" applyBorder="1" applyAlignment="1">
      <x:alignment horizontal="right" vertical="center"/>
    </x:xf>
    <x:xf numFmtId="202" fontId="6" fillId="6" borderId="3" xfId="0" applyNumberFormat="1" applyFont="1" applyFill="1" applyBorder="1" applyAlignment="1">
      <x:alignment horizontal="right" vertical="center"/>
    </x:xf>
    <x:xf numFmtId="202" fontId="7" fillId="0" borderId="0" xfId="0" applyNumberFormat="1" applyFont="1" applyFill="1" applyBorder="1" applyAlignment="1">
      <x:alignment horizontal="right"/>
    </x:xf>
    <x:xf numFmtId="202" fontId="7" fillId="0" borderId="1" xfId="0" applyNumberFormat="1" applyFont="1" applyFill="1" applyBorder="1" applyAlignment="1">
      <x:alignment horizontal="right"/>
    </x:xf>
    <x:xf numFmtId="203" fontId="6" fillId="6" borderId="2" xfId="0" applyNumberFormat="1" applyFont="1" applyFill="1" applyBorder="1" applyAlignment="1">
      <x:alignment horizontal="right" vertical="center"/>
    </x:xf>
    <x:xf numFmtId="203" fontId="6" fillId="6" borderId="3" xfId="0" applyNumberFormat="1" applyFont="1" applyFill="1" applyBorder="1" applyAlignment="1">
      <x:alignment horizontal="right" vertical="center"/>
    </x:xf>
    <x:xf numFmtId="203" fontId="7" fillId="0" borderId="0" xfId="0" applyNumberFormat="1" applyFont="1" applyFill="1" applyBorder="1" applyAlignment="1">
      <x:alignment horizontal="right"/>
    </x:xf>
    <x:xf numFmtId="203" fontId="7" fillId="0" borderId="1" xfId="0" applyNumberFormat="1" applyFont="1" applyFill="1" applyBorder="1" applyAlignment="1">
      <x:alignment horizontal="right"/>
    </x:xf>
    <x:xf numFmtId="204" fontId="6" fillId="6" borderId="2" xfId="0" applyNumberFormat="1" applyFont="1" applyFill="1" applyBorder="1" applyAlignment="1">
      <x:alignment horizontal="right" vertical="center"/>
    </x:xf>
    <x:xf numFmtId="204" fontId="6" fillId="6" borderId="3" xfId="0" applyNumberFormat="1" applyFont="1" applyFill="1" applyBorder="1" applyAlignment="1">
      <x:alignment horizontal="right" vertical="center"/>
    </x:xf>
    <x:xf numFmtId="204" fontId="7" fillId="0" borderId="0" xfId="0" applyNumberFormat="1" applyFont="1" applyFill="1" applyBorder="1" applyAlignment="1">
      <x:alignment horizontal="right"/>
    </x:xf>
    <x:xf numFmtId="204" fontId="7" fillId="0" borderId="1" xfId="0" applyNumberFormat="1" applyFont="1" applyFill="1" applyBorder="1" applyAlignment="1">
      <x:alignment horizontal="right"/>
    </x:xf>
    <x:xf numFmtId="205" fontId="6" fillId="6" borderId="2" xfId="0" applyNumberFormat="1" applyFont="1" applyFill="1" applyBorder="1" applyAlignment="1">
      <x:alignment horizontal="right" vertical="center"/>
    </x:xf>
    <x:xf numFmtId="205" fontId="6" fillId="6" borderId="3" xfId="0" applyNumberFormat="1" applyFont="1" applyFill="1" applyBorder="1" applyAlignment="1">
      <x:alignment horizontal="right" vertical="center"/>
    </x:xf>
    <x:xf numFmtId="205" fontId="7" fillId="0" borderId="0" xfId="0" applyNumberFormat="1" applyFont="1" applyFill="1" applyBorder="1" applyAlignment="1">
      <x:alignment horizontal="right"/>
    </x:xf>
    <x:xf numFmtId="205" fontId="7" fillId="0" borderId="1" xfId="0" applyNumberFormat="1" applyFont="1" applyFill="1" applyBorder="1" applyAlignment="1">
      <x:alignment horizontal="right"/>
    </x:xf>
    <x:xf numFmtId="0" fontId="0" fillId="7" borderId="0" xfId="0" applyNumberFormat="1" applyFont="1" applyFill="1" applyBorder="1"/>
    <x:xf numFmtId="0" fontId="8" fillId="7" borderId="0"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vertical="center"/>
    </x:xf>
    <x:xf numFmtId="0" fontId="9" fillId="0" borderId="1" xfId="0" applyNumberFormat="1" applyFont="1" applyFill="1" applyBorder="1"/>
    <x:xf numFmtId="0" fontId="9" fillId="0" borderId="1" xfId="0" applyNumberFormat="1" applyFont="1" applyFill="1" applyBorder="1" applyAlignment="1">
      <x:alignment vertical="center"/>
    </x:xf>
    <x:xf numFmtId="200" fontId="9" fillId="0" borderId="0" xfId="0" applyNumberFormat="1" applyFont="1" applyFill="1" applyBorder="1" applyAlignment="1">
      <x:alignment vertical="center"/>
    </x:xf>
    <x:xf numFmtId="200" fontId="9" fillId="0" borderId="1" xfId="0" applyNumberFormat="1" applyFont="1" applyFill="1" applyBorder="1" applyAlignment="1">
      <x:alignment vertical="center"/>
    </x:xf>
    <x:xf numFmtId="202" fontId="9" fillId="0" borderId="0" xfId="0" applyNumberFormat="1" applyFont="1" applyFill="1" applyBorder="1" applyAlignment="1">
      <x:alignment vertical="center"/>
    </x:xf>
    <x:xf numFmtId="202" fontId="9" fillId="0" borderId="1" xfId="0" applyNumberFormat="1" applyFont="1" applyFill="1" applyBorder="1" applyAlignment="1">
      <x:alignment vertical="center"/>
    </x:xf>
    <x:xf numFmtId="0" fontId="5" fillId="8" borderId="0" xfId="0" applyNumberFormat="1" applyFont="1" applyFill="1" applyBorder="1" applyAlignment="1">
      <x:alignment vertical="center"/>
    </x:xf>
    <x:xf numFmtId="202" fontId="9" fillId="8" borderId="0" xfId="0" applyNumberFormat="1" applyFont="1" applyFill="1" applyBorder="1" applyAlignment="1">
      <x:alignment vertical="center"/>
    </x:xf>
    <x:xf numFmtId="0" fontId="0" fillId="8" borderId="0" xfId="0" applyNumberFormat="1" applyFont="1" applyFill="1" applyBorder="1"/>
    <x:xf numFmtId="0" fontId="5" fillId="8" borderId="1" xfId="0" applyNumberFormat="1" applyFont="1" applyFill="1" applyBorder="1" applyAlignment="1">
      <x:alignment vertical="center"/>
    </x:xf>
    <x:xf numFmtId="202" fontId="9" fillId="8" borderId="1" xfId="0" applyNumberFormat="1" applyFont="1" applyFill="1" applyBorder="1" applyAlignment="1">
      <x:alignment vertical="center"/>
    </x:xf>
    <x:xf numFmtId="0" fontId="0" fillId="8" borderId="1" xfId="0" applyNumberFormat="1" applyFont="1" applyFill="1" applyBorder="1"/>
    <x:xf numFmtId="203" fontId="9" fillId="0" borderId="0" xfId="0" applyNumberFormat="1" applyFont="1" applyFill="1" applyBorder="1" applyAlignment="1">
      <x:alignment vertical="center"/>
    </x:xf>
    <x:xf numFmtId="203" fontId="9" fillId="0" borderId="1" xfId="0" applyNumberFormat="1" applyFont="1" applyFill="1" applyBorder="1" applyAlignment="1">
      <x:alignment vertical="center"/>
    </x:xf>
    <x:xf numFmtId="203" fontId="9" fillId="8" borderId="0" xfId="0" applyNumberFormat="1" applyFont="1" applyFill="1" applyBorder="1" applyAlignment="1">
      <x:alignment vertical="center"/>
    </x:xf>
    <x:xf numFmtId="203" fontId="9" fillId="8" borderId="1" xfId="0" applyNumberFormat="1" applyFont="1" applyFill="1" applyBorder="1" applyAlignment="1">
      <x:alignment vertical="center"/>
    </x:xf>
    <x:xf numFmtId="204" fontId="9" fillId="0" borderId="0" xfId="0" applyNumberFormat="1" applyFont="1" applyFill="1" applyBorder="1" applyAlignment="1">
      <x:alignment vertical="center"/>
    </x:xf>
    <x:xf numFmtId="204" fontId="9" fillId="0" borderId="1" xfId="0" applyNumberFormat="1" applyFont="1" applyFill="1" applyBorder="1" applyAlignment="1">
      <x:alignment vertical="center"/>
    </x:xf>
    <x:xf numFmtId="204" fontId="9" fillId="8" borderId="0" xfId="0" applyNumberFormat="1" applyFont="1" applyFill="1" applyBorder="1" applyAlignment="1">
      <x:alignment vertical="center"/>
    </x:xf>
    <x:xf numFmtId="204" fontId="9" fillId="8" borderId="1" xfId="0" applyNumberFormat="1" applyFont="1" applyFill="1" applyBorder="1" applyAlignment="1">
      <x:alignment vertical="center"/>
    </x:xf>
    <x:xf numFmtId="205" fontId="9" fillId="0" borderId="0" xfId="0" applyNumberFormat="1" applyFont="1" applyFill="1" applyBorder="1" applyAlignment="1">
      <x:alignment vertical="center"/>
    </x:xf>
    <x:xf numFmtId="205" fontId="9" fillId="0" borderId="1" xfId="0" applyNumberFormat="1" applyFont="1" applyFill="1" applyBorder="1" applyAlignment="1">
      <x:alignment vertical="center"/>
    </x:xf>
    <x:xf numFmtId="205" fontId="9" fillId="8" borderId="0" xfId="0" applyNumberFormat="1" applyFont="1" applyFill="1" applyBorder="1" applyAlignment="1">
      <x:alignment vertical="center"/>
    </x:xf>
    <x:xf numFmtId="205" fontId="9" fillId="8" borderId="1" xfId="0" applyNumberFormat="1" applyFont="1" applyFill="1" applyBorder="1" applyAlignment="1">
      <x:alignment vertical="center"/>
    </x:xf>
    <x:xf numFmtId="0" fontId="10" fillId="0" borderId="0" xfId="0" applyNumberFormat="1" applyFont="1" applyFill="1" applyBorder="1"/>
    <x:xf numFmtId="0" fontId="10" fillId="0" borderId="0" xfId="0" applyNumberFormat="1" applyFont="1" applyFill="1" applyBorder="1" applyAlignment="1">
      <x:alignment vertical="center"/>
    </x:xf>
    <x:xf numFmtId="0" fontId="10" fillId="0" borderId="1" xfId="0" applyNumberFormat="1" applyFont="1" applyFill="1" applyBorder="1"/>
    <x:xf numFmtId="0" fontId="10" fillId="0" borderId="1" xfId="0" applyNumberFormat="1" applyFont="1" applyFill="1" applyBorder="1" applyAlignment="1">
      <x:alignment vertical="center"/>
    </x:xf>
    <x:xf numFmtId="200" fontId="10" fillId="0" borderId="0" xfId="0" applyNumberFormat="1" applyFont="1" applyFill="1" applyBorder="1" applyAlignment="1">
      <x:alignment vertical="center"/>
    </x:xf>
    <x:xf numFmtId="200" fontId="10" fillId="0" borderId="1" xfId="0" applyNumberFormat="1" applyFont="1" applyFill="1" applyBorder="1" applyAlignment="1">
      <x:alignment vertical="center"/>
    </x:xf>
    <x:xf numFmtId="200" fontId="10" fillId="8" borderId="0" xfId="0" applyNumberFormat="1" applyFont="1" applyFill="1" applyBorder="1" applyAlignment="1">
      <x:alignment vertical="center"/>
    </x:xf>
    <x:xf numFmtId="200" fontId="10" fillId="8" borderId="1" xfId="0" applyNumberFormat="1" applyFont="1" applyFill="1" applyBorder="1" applyAlignment="1">
      <x:alignment vertical="center"/>
    </x:xf>
    <x:xf numFmtId="205" fontId="10" fillId="0" borderId="0" xfId="0" applyNumberFormat="1" applyFont="1" applyFill="1" applyBorder="1" applyAlignment="1">
      <x:alignment vertical="center"/>
    </x:xf>
    <x:xf numFmtId="205" fontId="10" fillId="0" borderId="1" xfId="0" applyNumberFormat="1" applyFont="1" applyFill="1" applyBorder="1" applyAlignment="1">
      <x:alignment vertical="center"/>
    </x:xf>
    <x:xf numFmtId="0" fontId="0" fillId="9" borderId="0" xfId="0" applyNumberFormat="1" applyFont="1" applyFill="1" applyBorder="1"/>
    <x:xf numFmtId="205" fontId="10" fillId="9" borderId="0" xfId="0" applyNumberFormat="1" applyFont="1" applyFill="1" applyBorder="1" applyAlignment="1">
      <x:alignment vertical="center"/>
    </x:xf>
    <x:xf numFmtId="0" fontId="3" fillId="9" borderId="0" xfId="0" applyNumberFormat="1" applyFont="1" applyFill="1" applyBorder="1"/>
    <x:xf numFmtId="205" fontId="3" fillId="9" borderId="0" xfId="0" applyNumberFormat="1" applyFont="1" applyFill="1" applyBorder="1" applyAlignment="1">
      <x:alignment vertical="center"/>
    </x:xf>
    <x:xf numFmtId="0" fontId="0" fillId="9" borderId="1" xfId="0" applyNumberFormat="1" applyFont="1" applyFill="1" applyBorder="1"/>
    <x:xf numFmtId="205" fontId="10" fillId="9" borderId="1" xfId="0" applyNumberFormat="1" applyFont="1" applyFill="1" applyBorder="1" applyAlignment="1">
      <x:alignment vertical="center"/>
    </x:xf>
    <x:xf numFmtId="0" fontId="3" fillId="9" borderId="1" xfId="0" applyNumberFormat="1" applyFont="1" applyFill="1" applyBorder="1"/>
    <x:xf numFmtId="205" fontId="3" fillId="9" borderId="1" xfId="0" applyNumberFormat="1" applyFont="1" applyFill="1" applyBorder="1" applyAlignment="1">
      <x:alignment vertical="center"/>
    </x:xf>
    <x:xf numFmtId="205" fontId="11" fillId="9" borderId="0" xfId="0" applyNumberFormat="1" applyFont="1" applyFill="1" applyBorder="1" applyAlignment="1">
      <x:alignment vertical="center"/>
    </x:xf>
    <x:xf numFmtId="205" fontId="11" fillId="9" borderId="1" xfId="0" applyNumberFormat="1" applyFont="1" applyFill="1" applyBorder="1" applyAlignment="1">
      <x:alignment vertical="center"/>
    </x:xf>
    <x:xf numFmtId="205" fontId="10" fillId="8" borderId="0" xfId="0" applyNumberFormat="1" applyFont="1" applyFill="1" applyBorder="1" applyAlignment="1">
      <x:alignment vertical="center"/>
    </x:xf>
    <x:xf numFmtId="205" fontId="10" fillId="8" borderId="1" xfId="0" applyNumberFormat="1" applyFont="1" applyFill="1" applyBorder="1" applyAlignment="1">
      <x:alignment vertical="center"/>
    </x:xf>
    <x:xf numFmtId="204" fontId="10" fillId="0" borderId="0" xfId="0" applyNumberFormat="1" applyFont="1" applyFill="1" applyBorder="1" applyAlignment="1">
      <x:alignment vertical="center"/>
    </x:xf>
    <x:xf numFmtId="204" fontId="10" fillId="0" borderId="1" xfId="0" applyNumberFormat="1" applyFont="1" applyFill="1" applyBorder="1" applyAlignment="1">
      <x:alignment vertical="center"/>
    </x:xf>
    <x:xf numFmtId="204" fontId="10" fillId="8" borderId="0" xfId="0" applyNumberFormat="1" applyFont="1" applyFill="1" applyBorder="1" applyAlignment="1">
      <x:alignment vertical="center"/>
    </x:xf>
    <x:xf numFmtId="204" fontId="10" fillId="8" borderId="1" xfId="0" applyNumberFormat="1" applyFont="1" applyFill="1" applyBorder="1" applyAlignment="1">
      <x:alignment vertical="center"/>
    </x:xf>
    <x:xf numFmtId="205" fontId="0" fillId="0" borderId="0" xfId="0" applyNumberFormat="1" applyFont="1" applyFill="1" applyBorder="1"/>
    <x:xf numFmtId="205" fontId="0" fillId="0" borderId="1" xfId="0" applyNumberFormat="1" applyFont="1" applyFill="1" applyBorder="1"/>
    <x:xf numFmtId="0" fontId="12" fillId="3" borderId="0" xfId="0" applyNumberFormat="1" applyFont="1" applyFill="1" applyBorder="1"/>
    <x:xf numFmtId="0" fontId="12" fillId="3" borderId="0" xfId="0" applyNumberFormat="1" applyFont="1" applyFill="1" applyBorder="1" applyAlignment="1">
      <x:alignment wrapText="1"/>
    </x:xf>
    <x:xf numFmtId="0" fontId="12" fillId="3" borderId="1" xfId="0" applyNumberFormat="1" applyFont="1" applyFill="1" applyBorder="1"/>
    <x:xf numFmtId="0" fontId="12" fillId="3" borderId="1" xfId="0" applyNumberFormat="1" applyFont="1" applyFill="1" applyBorder="1" applyAlignment="1">
      <x:alignment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0" borderId="1" xfId="0" applyNumberFormat="1" applyFont="1" applyFill="1" applyBorder="1"/>
    <x:xf numFmtId="0" fontId="8" fillId="10" borderId="1" xfId="0" applyNumberFormat="1" applyFont="1" applyFill="1" applyBorder="1"/>
    <x:xf numFmtId="0" fontId="8" fillId="10" borderId="1" xfId="0" applyNumberFormat="1" applyFont="1" applyFill="1" applyBorder="1" applyAlignment="1">
      <x:alignment wrapText="1"/>
    </x:xf>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0" fillId="11" borderId="1" xfId="0" applyNumberFormat="1" applyFont="1" applyFill="1" applyBorder="1"/>
    <x:xf numFmtId="0" fontId="13" fillId="11" borderId="1" xfId="0" applyNumberFormat="1" applyFont="1" applyFill="1" applyBorder="1"/>
    <x:xf numFmtId="0" fontId="13" fillId="11" borderId="1"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0" fontId="0" fillId="8" borderId="0" xfId="0" applyNumberFormat="1" applyFont="1" applyFill="1" applyBorder="1"/>
    <x:xf numFmtId="203" fontId="0" fillId="8" borderId="0" xfId="0" applyNumberFormat="1" applyFont="1" applyFill="1" applyBorder="1"/>
    <x:xf numFmtId="205" fontId="0" fillId="8" borderId="0" xfId="0" applyNumberFormat="1" applyFont="1" applyFill="1" applyBorder="1"/>
    <x:xf numFmtId="204" fontId="0" fillId="8" borderId="0" xfId="0" applyNumberFormat="1" applyFont="1" applyFill="1" applyBorder="1"/>
    <x:xf numFmtId="200" fontId="0" fillId="8" borderId="1" xfId="0" applyNumberFormat="1" applyFont="1" applyFill="1" applyBorder="1"/>
    <x:xf numFmtId="203" fontId="0" fillId="8" borderId="1" xfId="0" applyNumberFormat="1" applyFont="1" applyFill="1" applyBorder="1"/>
    <x:xf numFmtId="205" fontId="0" fillId="8" borderId="1" xfId="0" applyNumberFormat="1" applyFont="1" applyFill="1" applyBorder="1"/>
    <x:xf numFmtId="204" fontId="0" fillId="8" borderId="1" xfId="0" applyNumberFormat="1" applyFont="1" applyFill="1" applyBorder="1"/>
    <x:xf numFmtId="200" fontId="4" fillId="5" borderId="0" xfId="0" applyNumberFormat="1" applyFont="1" applyFill="1" applyBorder="1"/>
    <x:xf numFmtId="200" fontId="4" fillId="5" borderId="1" xfId="0" applyNumberFormat="1" applyFont="1" applyFill="1" applyBorder="1"/>
    <x:xf numFmtId="205" fontId="4" fillId="5" borderId="0" xfId="0" applyNumberFormat="1" applyFont="1" applyFill="1" applyBorder="1"/>
    <x:xf numFmtId="205" fontId="4" fillId="5" borderId="1" xfId="0" applyNumberFormat="1" applyFont="1" applyFill="1" applyBorder="1"/>
    <x:xf numFmtId="203" fontId="4" fillId="5" borderId="0" xfId="0" applyNumberFormat="1" applyFont="1" applyFill="1" applyBorder="1"/>
    <x:xf numFmtId="203" fontId="4" fillId="5" borderId="1" xfId="0" applyNumberFormat="1" applyFont="1" applyFill="1" applyBorder="1"/>
    <x:xf numFmtId="204" fontId="4" fillId="5" borderId="0" xfId="0" applyNumberFormat="1" applyFont="1" applyFill="1" applyBorder="1"/>
    <x:xf numFmtId="204" fontId="4" fillId="5" borderId="1" xfId="0" applyNumberFormat="1" applyFont="1" applyFill="1" applyBorder="1"/>
    <x:xf numFmtId="0" fontId="14" fillId="4" borderId="0" xfId="0" applyNumberFormat="1" applyFont="1" applyFill="1" applyBorder="1"/>
    <x:xf numFmtId="0" fontId="14" fillId="4" borderId="0" xfId="0" applyNumberFormat="1" applyFont="1" applyFill="1" applyBorder="1" applyAlignment="1">
      <x:alignment wrapText="1"/>
    </x:xf>
    <x:xf numFmtId="0" fontId="14" fillId="4" borderId="1" xfId="0" applyNumberFormat="1" applyFont="1" applyFill="1" applyBorder="1"/>
    <x:xf numFmtId="0" fontId="14" fillId="4" borderId="1" xfId="0" applyNumberFormat="1" applyFont="1" applyFill="1" applyBorder="1" applyAlignment="1">
      <x:alignment wrapText="1"/>
    </x:xf>
    <x:xf numFmtId="206" fontId="3" fillId="4" borderId="0" xfId="0" applyNumberFormat="1" applyFont="1" applyFill="1" applyBorder="1" applyAlignment="1">
      <x:alignment vertical="center"/>
    </x:xf>
    <x:xf numFmtId="206" fontId="3" fillId="4" borderId="1" xfId="0" applyNumberFormat="1" applyFont="1" applyFill="1" applyBorder="1" applyAlignment="1">
      <x:alignment vertical="center"/>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0" fillId="13" borderId="0" xfId="0" applyNumberFormat="1" applyFont="1" applyFill="1" applyBorder="1"/>
    <x:xf numFmtId="0" fontId="0" fillId="13" borderId="4" xfId="0" applyNumberFormat="1" applyFont="1" applyFill="1" applyBorder="1"/>
    <x:xf numFmtId="0" fontId="0" fillId="13" borderId="5" xfId="0" applyNumberFormat="1" applyFont="1" applyFill="1" applyBorder="1"/>
    <x:xf numFmtId="0" fontId="0" fillId="13" borderId="6" xfId="0" applyNumberFormat="1" applyFont="1" applyFill="1" applyBorder="1"/>
    <x:xf numFmtId="0" fontId="0" fillId="13" borderId="7" xfId="0" applyNumberFormat="1" applyFont="1" applyFill="1" applyBorder="1"/>
    <x:xf numFmtId="0" fontId="0" fillId="13" borderId="8" xfId="0" applyNumberFormat="1" applyFont="1" applyFill="1" applyBorder="1"/>
    <x:xf numFmtId="0" fontId="0" fillId="13" borderId="9" xfId="0" applyNumberFormat="1" applyFont="1" applyFill="1" applyBorder="1"/>
    <x:xf numFmtId="0" fontId="0" fillId="13" borderId="10" xfId="0" applyNumberFormat="1" applyFont="1" applyFill="1" applyBorder="1"/>
    <x:xf numFmtId="0" fontId="0" fillId="13" borderId="11" xfId="0" applyNumberFormat="1" applyFont="1" applyFill="1" applyBorder="1"/>
    <x:xf numFmtId="0" fontId="0" fillId="13" borderId="4" xfId="0" applyNumberFormat="1" applyFont="1" applyFill="1" applyBorder="1" applyAlignment="1">
      <x:alignment vertical="center"/>
    </x:xf>
    <x:xf numFmtId="0" fontId="0" fillId="13" borderId="5" xfId="0" applyNumberFormat="1" applyFont="1" applyFill="1" applyBorder="1" applyAlignment="1">
      <x:alignment vertical="center"/>
    </x:xf>
    <x:xf numFmtId="0" fontId="0" fillId="13" borderId="6" xfId="0" applyNumberFormat="1" applyFont="1" applyFill="1" applyBorder="1" applyAlignment="1">
      <x:alignment vertical="center"/>
    </x:xf>
    <x:xf numFmtId="0" fontId="0" fillId="13" borderId="7" xfId="0" applyNumberFormat="1" applyFont="1" applyFill="1" applyBorder="1" applyAlignment="1">
      <x:alignment vertical="center"/>
    </x:xf>
    <x:xf numFmtId="0" fontId="0" fillId="13" borderId="0" xfId="0" applyNumberFormat="1" applyFont="1" applyFill="1" applyBorder="1" applyAlignment="1">
      <x:alignment vertical="center"/>
    </x:xf>
    <x:xf numFmtId="0" fontId="0" fillId="13" borderId="8" xfId="0" applyNumberFormat="1" applyFont="1" applyFill="1" applyBorder="1" applyAlignment="1">
      <x:alignment vertical="center"/>
    </x:xf>
    <x:xf numFmtId="0" fontId="0" fillId="13" borderId="9" xfId="0" applyNumberFormat="1" applyFont="1" applyFill="1" applyBorder="1" applyAlignment="1">
      <x:alignment vertical="center"/>
    </x:xf>
    <x:xf numFmtId="0" fontId="0" fillId="13" borderId="10" xfId="0" applyNumberFormat="1" applyFont="1" applyFill="1" applyBorder="1" applyAlignment="1">
      <x:alignment vertical="center"/>
    </x:xf>
    <x:xf numFmtId="0" fontId="0" fillId="13" borderId="11" xfId="0" applyNumberFormat="1" applyFont="1" applyFill="1" applyBorder="1" applyAlignment="1">
      <x:alignment vertical="center"/>
    </x:xf>
    <x:xf numFmtId="0" fontId="0" fillId="13" borderId="1" xfId="0" applyNumberFormat="1" applyFont="1" applyFill="1" applyBorder="1"/>
    <x:xf numFmtId="0" fontId="0" fillId="13" borderId="12" xfId="0" applyNumberFormat="1" applyFont="1" applyFill="1" applyBorder="1"/>
    <x:xf numFmtId="0" fontId="0" fillId="13" borderId="13" xfId="0" applyNumberFormat="1" applyFont="1" applyFill="1" applyBorder="1"/>
    <x:xf numFmtId="0" fontId="0" fillId="13" borderId="14" xfId="0" applyNumberFormat="1" applyFont="1" applyFill="1" applyBorder="1"/>
    <x:xf numFmtId="0" fontId="0" fillId="13" borderId="15" xfId="0" applyNumberFormat="1" applyFont="1" applyFill="1" applyBorder="1"/>
    <x:xf numFmtId="0" fontId="0" fillId="13" borderId="16" xfId="0" applyNumberFormat="1" applyFont="1" applyFill="1" applyBorder="1"/>
    <x:xf numFmtId="0" fontId="0" fillId="13" borderId="17" xfId="0" applyNumberFormat="1" applyFont="1" applyFill="1" applyBorder="1"/>
    <x:xf numFmtId="0" fontId="0" fillId="13" borderId="18" xfId="0" applyNumberFormat="1" applyFont="1" applyFill="1" applyBorder="1"/>
    <x:xf numFmtId="0" fontId="0" fillId="13" borderId="19" xfId="0" applyNumberFormat="1" applyFont="1" applyFill="1" applyBorder="1"/>
    <x:xf numFmtId="0" fontId="0" fillId="13" borderId="12" xfId="0" applyNumberFormat="1" applyFont="1" applyFill="1" applyBorder="1" applyAlignment="1">
      <x:alignment vertical="center"/>
    </x:xf>
    <x:xf numFmtId="0" fontId="0" fillId="13" borderId="13" xfId="0" applyNumberFormat="1" applyFont="1" applyFill="1" applyBorder="1" applyAlignment="1">
      <x:alignment vertical="center"/>
    </x:xf>
    <x:xf numFmtId="0" fontId="0" fillId="13" borderId="14" xfId="0" applyNumberFormat="1" applyFont="1" applyFill="1" applyBorder="1" applyAlignment="1">
      <x:alignment vertical="center"/>
    </x:xf>
    <x:xf numFmtId="0" fontId="0" fillId="13" borderId="15" xfId="0" applyNumberFormat="1" applyFont="1" applyFill="1" applyBorder="1" applyAlignment="1">
      <x:alignment vertical="center"/>
    </x:xf>
    <x:xf numFmtId="0" fontId="0" fillId="13" borderId="1" xfId="0" applyNumberFormat="1" applyFont="1" applyFill="1" applyBorder="1" applyAlignment="1">
      <x:alignment vertical="center"/>
    </x:xf>
    <x:xf numFmtId="0" fontId="0" fillId="13" borderId="16" xfId="0" applyNumberFormat="1" applyFont="1" applyFill="1" applyBorder="1" applyAlignment="1">
      <x:alignment vertical="center"/>
    </x:xf>
    <x:xf numFmtId="0" fontId="0" fillId="13" borderId="17" xfId="0" applyNumberFormat="1" applyFont="1" applyFill="1" applyBorder="1" applyAlignment="1">
      <x:alignment vertical="center"/>
    </x:xf>
    <x:xf numFmtId="0" fontId="0" fillId="13" borderId="18" xfId="0" applyNumberFormat="1" applyFont="1" applyFill="1" applyBorder="1" applyAlignment="1">
      <x:alignment vertical="center"/>
    </x:xf>
    <x:xf numFmtId="0" fontId="0" fillId="13" borderId="19" xfId="0" applyNumberFormat="1" applyFont="1" applyFill="1" applyBorder="1" applyAlignment="1">
      <x:alignment vertical="center"/>
    </x:xf>
    <x:xf numFmtId="0" fontId="15" fillId="13" borderId="4" xfId="0" applyNumberFormat="1" applyFont="1" applyFill="1" applyBorder="1" applyAlignment="1">
      <x:alignment vertical="center"/>
    </x:xf>
    <x:xf numFmtId="0" fontId="15" fillId="13" borderId="12" xfId="0" applyNumberFormat="1" applyFont="1" applyFill="1" applyBorder="1" applyAlignment="1">
      <x:alignment vertical="center"/>
    </x:xf>
    <x:xf numFmtId="0" fontId="16" fillId="13" borderId="7" xfId="0" applyNumberFormat="1" applyFont="1" applyFill="1" applyBorder="1" applyAlignment="1">
      <x:alignment vertical="center"/>
    </x:xf>
    <x:xf numFmtId="0" fontId="16" fillId="13" borderId="15" xfId="0" applyNumberFormat="1" applyFont="1" applyFill="1" applyBorder="1" applyAlignment="1">
      <x:alignment vertical="center"/>
    </x:xf>
    <x:xf numFmtId="205" fontId="16" fillId="13" borderId="7" xfId="0" applyNumberFormat="1" applyFont="1" applyFill="1" applyBorder="1" applyAlignment="1">
      <x:alignment vertical="center"/>
    </x:xf>
    <x:xf numFmtId="205" fontId="16" fillId="13" borderId="15" xfId="0" applyNumberFormat="1" applyFont="1" applyFill="1" applyBorder="1" applyAlignment="1">
      <x:alignment vertical="center"/>
    </x:xf>
    <x:xf numFmtId="0" fontId="0" fillId="14" borderId="0" xfId="0" applyNumberFormat="1" applyFont="1" applyFill="1" applyBorder="1"/>
    <x:xf numFmtId="0" fontId="0" fillId="14" borderId="4" xfId="0" applyNumberFormat="1" applyFont="1" applyFill="1" applyBorder="1"/>
    <x:xf numFmtId="0" fontId="0" fillId="14" borderId="5" xfId="0" applyNumberFormat="1" applyFont="1" applyFill="1" applyBorder="1"/>
    <x:xf numFmtId="0" fontId="0" fillId="14" borderId="6" xfId="0" applyNumberFormat="1" applyFont="1" applyFill="1" applyBorder="1"/>
    <x:xf numFmtId="0" fontId="0" fillId="14" borderId="7" xfId="0" applyNumberFormat="1" applyFont="1" applyFill="1" applyBorder="1"/>
    <x:xf numFmtId="0" fontId="0" fillId="14" borderId="8" xfId="0" applyNumberFormat="1" applyFont="1" applyFill="1" applyBorder="1"/>
    <x:xf numFmtId="0" fontId="0" fillId="14" borderId="9" xfId="0" applyNumberFormat="1" applyFont="1" applyFill="1" applyBorder="1"/>
    <x:xf numFmtId="0" fontId="0" fillId="14" borderId="10" xfId="0" applyNumberFormat="1" applyFont="1" applyFill="1" applyBorder="1"/>
    <x:xf numFmtId="0" fontId="0" fillId="14" borderId="11" xfId="0" applyNumberFormat="1" applyFont="1" applyFill="1" applyBorder="1"/>
    <x:xf numFmtId="0" fontId="0" fillId="14" borderId="4" xfId="0" applyNumberFormat="1" applyFont="1" applyFill="1" applyBorder="1" applyAlignment="1">
      <x:alignment vertical="center"/>
    </x:xf>
    <x:xf numFmtId="0" fontId="0" fillId="14" borderId="5" xfId="0" applyNumberFormat="1" applyFont="1" applyFill="1" applyBorder="1" applyAlignment="1">
      <x:alignment vertical="center"/>
    </x:xf>
    <x:xf numFmtId="0" fontId="0" fillId="14" borderId="6" xfId="0" applyNumberFormat="1" applyFont="1" applyFill="1" applyBorder="1" applyAlignment="1">
      <x:alignment vertical="center"/>
    </x:xf>
    <x:xf numFmtId="0" fontId="0" fillId="14" borderId="7" xfId="0" applyNumberFormat="1" applyFont="1" applyFill="1" applyBorder="1" applyAlignment="1">
      <x:alignment vertical="center"/>
    </x:xf>
    <x:xf numFmtId="0" fontId="0" fillId="14" borderId="0" xfId="0" applyNumberFormat="1" applyFont="1" applyFill="1" applyBorder="1" applyAlignment="1">
      <x:alignment vertical="center"/>
    </x:xf>
    <x:xf numFmtId="0" fontId="0" fillId="14" borderId="8" xfId="0" applyNumberFormat="1" applyFont="1" applyFill="1" applyBorder="1" applyAlignment="1">
      <x:alignment vertical="center"/>
    </x:xf>
    <x:xf numFmtId="0" fontId="0" fillId="14" borderId="9" xfId="0" applyNumberFormat="1" applyFont="1" applyFill="1" applyBorder="1" applyAlignment="1">
      <x:alignment vertical="center"/>
    </x:xf>
    <x:xf numFmtId="0" fontId="0" fillId="14" borderId="10" xfId="0" applyNumberFormat="1" applyFont="1" applyFill="1" applyBorder="1" applyAlignment="1">
      <x:alignment vertical="center"/>
    </x:xf>
    <x:xf numFmtId="0" fontId="0" fillId="14" borderId="11" xfId="0" applyNumberFormat="1" applyFont="1" applyFill="1" applyBorder="1" applyAlignment="1">
      <x:alignment vertical="center"/>
    </x:xf>
    <x:xf numFmtId="0" fontId="0" fillId="14" borderId="1" xfId="0" applyNumberFormat="1" applyFont="1" applyFill="1" applyBorder="1"/>
    <x:xf numFmtId="0" fontId="0" fillId="14" borderId="12" xfId="0" applyNumberFormat="1" applyFont="1" applyFill="1" applyBorder="1"/>
    <x:xf numFmtId="0" fontId="0" fillId="14" borderId="13" xfId="0" applyNumberFormat="1" applyFont="1" applyFill="1" applyBorder="1"/>
    <x:xf numFmtId="0" fontId="0" fillId="14" borderId="14" xfId="0" applyNumberFormat="1" applyFont="1" applyFill="1" applyBorder="1"/>
    <x:xf numFmtId="0" fontId="0" fillId="14" borderId="15" xfId="0" applyNumberFormat="1" applyFont="1" applyFill="1" applyBorder="1"/>
    <x:xf numFmtId="0" fontId="0" fillId="14" borderId="16" xfId="0" applyNumberFormat="1" applyFont="1" applyFill="1" applyBorder="1"/>
    <x:xf numFmtId="0" fontId="0" fillId="14" borderId="17" xfId="0" applyNumberFormat="1" applyFont="1" applyFill="1" applyBorder="1"/>
    <x:xf numFmtId="0" fontId="0" fillId="14" borderId="18" xfId="0" applyNumberFormat="1" applyFont="1" applyFill="1" applyBorder="1"/>
    <x:xf numFmtId="0" fontId="0" fillId="14" borderId="19" xfId="0" applyNumberFormat="1" applyFont="1" applyFill="1" applyBorder="1"/>
    <x:xf numFmtId="0" fontId="0" fillId="14" borderId="12" xfId="0" applyNumberFormat="1" applyFont="1" applyFill="1" applyBorder="1" applyAlignment="1">
      <x:alignment vertical="center"/>
    </x:xf>
    <x:xf numFmtId="0" fontId="0" fillId="14" borderId="13" xfId="0" applyNumberFormat="1" applyFont="1" applyFill="1" applyBorder="1" applyAlignment="1">
      <x:alignment vertical="center"/>
    </x:xf>
    <x:xf numFmtId="0" fontId="0" fillId="14" borderId="14" xfId="0" applyNumberFormat="1" applyFont="1" applyFill="1" applyBorder="1" applyAlignment="1">
      <x:alignment vertical="center"/>
    </x:xf>
    <x:xf numFmtId="0" fontId="0" fillId="14" borderId="15" xfId="0" applyNumberFormat="1" applyFont="1" applyFill="1" applyBorder="1" applyAlignment="1">
      <x:alignment vertical="center"/>
    </x:xf>
    <x:xf numFmtId="0" fontId="0" fillId="14" borderId="1" xfId="0" applyNumberFormat="1" applyFont="1" applyFill="1" applyBorder="1" applyAlignment="1">
      <x:alignment vertical="center"/>
    </x:xf>
    <x:xf numFmtId="0" fontId="0" fillId="14" borderId="16" xfId="0" applyNumberFormat="1" applyFont="1" applyFill="1" applyBorder="1" applyAlignment="1">
      <x:alignment vertical="center"/>
    </x:xf>
    <x:xf numFmtId="0" fontId="0" fillId="14" borderId="17" xfId="0" applyNumberFormat="1" applyFont="1" applyFill="1" applyBorder="1" applyAlignment="1">
      <x:alignment vertical="center"/>
    </x:xf>
    <x:xf numFmtId="0" fontId="0" fillId="14" borderId="18" xfId="0" applyNumberFormat="1" applyFont="1" applyFill="1" applyBorder="1" applyAlignment="1">
      <x:alignment vertical="center"/>
    </x:xf>
    <x:xf numFmtId="0" fontId="0" fillId="14" borderId="19" xfId="0" applyNumberFormat="1" applyFont="1" applyFill="1" applyBorder="1" applyAlignment="1">
      <x:alignment vertical="center"/>
    </x:xf>
    <x:xf numFmtId="0" fontId="15" fillId="14" borderId="4" xfId="0" applyNumberFormat="1" applyFont="1" applyFill="1" applyBorder="1" applyAlignment="1">
      <x:alignment vertical="center"/>
    </x:xf>
    <x:xf numFmtId="0" fontId="15" fillId="14" borderId="12" xfId="0" applyNumberFormat="1" applyFont="1" applyFill="1" applyBorder="1" applyAlignment="1">
      <x:alignment vertical="center"/>
    </x:xf>
    <x:xf numFmtId="0" fontId="16" fillId="14" borderId="7" xfId="0" applyNumberFormat="1" applyFont="1" applyFill="1" applyBorder="1" applyAlignment="1">
      <x:alignment vertical="center"/>
    </x:xf>
    <x:xf numFmtId="0" fontId="16" fillId="14" borderId="15" xfId="0" applyNumberFormat="1" applyFont="1" applyFill="1" applyBorder="1" applyAlignment="1">
      <x:alignment vertical="center"/>
    </x:xf>
    <x:xf numFmtId="205" fontId="16" fillId="14" borderId="7" xfId="0" applyNumberFormat="1" applyFont="1" applyFill="1" applyBorder="1" applyAlignment="1">
      <x:alignment vertical="center"/>
    </x:xf>
    <x:xf numFmtId="205" fontId="16" fillId="14" borderId="15" xfId="0" applyNumberFormat="1" applyFont="1" applyFill="1" applyBorder="1" applyAlignment="1">
      <x:alignment vertical="center"/>
    </x:xf>
    <x:xf numFmtId="0" fontId="0" fillId="15" borderId="0" xfId="0" applyNumberFormat="1" applyFont="1" applyFill="1" applyBorder="1"/>
    <x:xf numFmtId="0" fontId="0" fillId="15" borderId="4" xfId="0" applyNumberFormat="1" applyFont="1" applyFill="1" applyBorder="1"/>
    <x:xf numFmtId="0" fontId="0" fillId="15" borderId="5" xfId="0" applyNumberFormat="1" applyFont="1" applyFill="1" applyBorder="1"/>
    <x:xf numFmtId="0" fontId="0" fillId="15" borderId="6" xfId="0" applyNumberFormat="1" applyFont="1" applyFill="1" applyBorder="1"/>
    <x:xf numFmtId="0" fontId="0" fillId="15" borderId="7" xfId="0" applyNumberFormat="1" applyFont="1" applyFill="1" applyBorder="1"/>
    <x:xf numFmtId="0" fontId="0" fillId="15" borderId="8" xfId="0" applyNumberFormat="1" applyFont="1" applyFill="1" applyBorder="1"/>
    <x:xf numFmtId="0" fontId="0" fillId="15" borderId="9" xfId="0" applyNumberFormat="1" applyFont="1" applyFill="1" applyBorder="1"/>
    <x:xf numFmtId="0" fontId="0" fillId="15" borderId="10" xfId="0" applyNumberFormat="1" applyFont="1" applyFill="1" applyBorder="1"/>
    <x:xf numFmtId="0" fontId="0" fillId="15" borderId="11" xfId="0" applyNumberFormat="1" applyFont="1" applyFill="1" applyBorder="1"/>
    <x:xf numFmtId="0" fontId="0" fillId="15" borderId="4" xfId="0" applyNumberFormat="1" applyFont="1" applyFill="1" applyBorder="1" applyAlignment="1">
      <x:alignment vertical="center"/>
    </x:xf>
    <x:xf numFmtId="0" fontId="0" fillId="15" borderId="5" xfId="0" applyNumberFormat="1" applyFont="1" applyFill="1" applyBorder="1" applyAlignment="1">
      <x:alignment vertical="center"/>
    </x:xf>
    <x:xf numFmtId="0" fontId="0" fillId="15" borderId="6" xfId="0" applyNumberFormat="1" applyFont="1" applyFill="1" applyBorder="1" applyAlignment="1">
      <x:alignment vertical="center"/>
    </x:xf>
    <x:xf numFmtId="0" fontId="0" fillId="15" borderId="7" xfId="0" applyNumberFormat="1" applyFont="1" applyFill="1" applyBorder="1" applyAlignment="1">
      <x:alignment vertical="center"/>
    </x:xf>
    <x:xf numFmtId="0" fontId="0" fillId="15" borderId="0" xfId="0" applyNumberFormat="1" applyFont="1" applyFill="1" applyBorder="1" applyAlignment="1">
      <x:alignment vertical="center"/>
    </x:xf>
    <x:xf numFmtId="0" fontId="0" fillId="15" borderId="8" xfId="0" applyNumberFormat="1" applyFont="1" applyFill="1" applyBorder="1" applyAlignment="1">
      <x:alignment vertical="center"/>
    </x:xf>
    <x:xf numFmtId="0" fontId="0" fillId="15" borderId="9" xfId="0" applyNumberFormat="1" applyFont="1" applyFill="1" applyBorder="1" applyAlignment="1">
      <x:alignment vertical="center"/>
    </x:xf>
    <x:xf numFmtId="0" fontId="0" fillId="15" borderId="10" xfId="0" applyNumberFormat="1" applyFont="1" applyFill="1" applyBorder="1" applyAlignment="1">
      <x:alignment vertical="center"/>
    </x:xf>
    <x:xf numFmtId="0" fontId="0" fillId="15" borderId="11" xfId="0" applyNumberFormat="1" applyFont="1" applyFill="1" applyBorder="1" applyAlignment="1">
      <x:alignment vertical="center"/>
    </x:xf>
    <x:xf numFmtId="0" fontId="0" fillId="15" borderId="1" xfId="0" applyNumberFormat="1" applyFont="1" applyFill="1" applyBorder="1"/>
    <x:xf numFmtId="0" fontId="0" fillId="15" borderId="12" xfId="0" applyNumberFormat="1" applyFont="1" applyFill="1" applyBorder="1"/>
    <x:xf numFmtId="0" fontId="0" fillId="15" borderId="13" xfId="0" applyNumberFormat="1" applyFont="1" applyFill="1" applyBorder="1"/>
    <x:xf numFmtId="0" fontId="0" fillId="15" borderId="14" xfId="0" applyNumberFormat="1" applyFont="1" applyFill="1" applyBorder="1"/>
    <x:xf numFmtId="0" fontId="0" fillId="15" borderId="15" xfId="0" applyNumberFormat="1" applyFont="1" applyFill="1" applyBorder="1"/>
    <x:xf numFmtId="0" fontId="0" fillId="15" borderId="16" xfId="0" applyNumberFormat="1" applyFont="1" applyFill="1" applyBorder="1"/>
    <x:xf numFmtId="0" fontId="0" fillId="15" borderId="17" xfId="0" applyNumberFormat="1" applyFont="1" applyFill="1" applyBorder="1"/>
    <x:xf numFmtId="0" fontId="0" fillId="15" borderId="18" xfId="0" applyNumberFormat="1" applyFont="1" applyFill="1" applyBorder="1"/>
    <x:xf numFmtId="0" fontId="0" fillId="15" borderId="19" xfId="0" applyNumberFormat="1" applyFont="1" applyFill="1" applyBorder="1"/>
    <x:xf numFmtId="0" fontId="0" fillId="15" borderId="12" xfId="0" applyNumberFormat="1" applyFont="1" applyFill="1" applyBorder="1" applyAlignment="1">
      <x:alignment vertical="center"/>
    </x:xf>
    <x:xf numFmtId="0" fontId="0" fillId="15" borderId="13" xfId="0" applyNumberFormat="1" applyFont="1" applyFill="1" applyBorder="1" applyAlignment="1">
      <x:alignment vertical="center"/>
    </x:xf>
    <x:xf numFmtId="0" fontId="0" fillId="15" borderId="14" xfId="0" applyNumberFormat="1" applyFont="1" applyFill="1" applyBorder="1" applyAlignment="1">
      <x:alignment vertical="center"/>
    </x:xf>
    <x:xf numFmtId="0" fontId="0" fillId="15" borderId="15" xfId="0" applyNumberFormat="1" applyFont="1" applyFill="1" applyBorder="1" applyAlignment="1">
      <x:alignment vertical="center"/>
    </x:xf>
    <x:xf numFmtId="0" fontId="0" fillId="15" borderId="1" xfId="0" applyNumberFormat="1" applyFont="1" applyFill="1" applyBorder="1" applyAlignment="1">
      <x:alignment vertical="center"/>
    </x:xf>
    <x:xf numFmtId="0" fontId="0" fillId="15" borderId="16" xfId="0" applyNumberFormat="1" applyFont="1" applyFill="1" applyBorder="1" applyAlignment="1">
      <x:alignment vertical="center"/>
    </x:xf>
    <x:xf numFmtId="0" fontId="0" fillId="15" borderId="17" xfId="0" applyNumberFormat="1" applyFont="1" applyFill="1" applyBorder="1" applyAlignment="1">
      <x:alignment vertical="center"/>
    </x:xf>
    <x:xf numFmtId="0" fontId="0" fillId="15" borderId="18" xfId="0" applyNumberFormat="1" applyFont="1" applyFill="1" applyBorder="1" applyAlignment="1">
      <x:alignment vertical="center"/>
    </x:xf>
    <x:xf numFmtId="0" fontId="0" fillId="15" borderId="19" xfId="0" applyNumberFormat="1" applyFont="1" applyFill="1" applyBorder="1" applyAlignment="1">
      <x:alignment vertical="center"/>
    </x:xf>
    <x:xf numFmtId="0" fontId="15" fillId="15" borderId="4" xfId="0" applyNumberFormat="1" applyFont="1" applyFill="1" applyBorder="1" applyAlignment="1">
      <x:alignment vertical="center"/>
    </x:xf>
    <x:xf numFmtId="0" fontId="15" fillId="15" borderId="12" xfId="0" applyNumberFormat="1" applyFont="1" applyFill="1" applyBorder="1" applyAlignment="1">
      <x:alignment vertical="center"/>
    </x:xf>
    <x:xf numFmtId="0" fontId="16" fillId="15" borderId="7" xfId="0" applyNumberFormat="1" applyFont="1" applyFill="1" applyBorder="1" applyAlignment="1">
      <x:alignment vertical="center"/>
    </x:xf>
    <x:xf numFmtId="0" fontId="16" fillId="15" borderId="15" xfId="0" applyNumberFormat="1" applyFont="1" applyFill="1" applyBorder="1" applyAlignment="1">
      <x:alignment vertical="center"/>
    </x:xf>
    <x:xf numFmtId="205" fontId="16" fillId="15" borderId="7" xfId="0" applyNumberFormat="1" applyFont="1" applyFill="1" applyBorder="1" applyAlignment="1">
      <x:alignment vertical="center"/>
    </x:xf>
    <x:xf numFmtId="205" fontId="16" fillId="15" borderId="15" xfId="0" applyNumberFormat="1" applyFont="1" applyFill="1" applyBorder="1" applyAlignment="1">
      <x:alignment vertical="center"/>
    </x:xf>
    <x:xf numFmtId="0" fontId="0" fillId="16" borderId="0" xfId="0" applyNumberFormat="1" applyFont="1" applyFill="1" applyBorder="1"/>
    <x:xf numFmtId="0" fontId="0" fillId="16" borderId="4" xfId="0" applyNumberFormat="1" applyFont="1" applyFill="1" applyBorder="1"/>
    <x:xf numFmtId="0" fontId="0" fillId="16" borderId="5" xfId="0" applyNumberFormat="1" applyFont="1" applyFill="1" applyBorder="1"/>
    <x:xf numFmtId="0" fontId="0" fillId="16" borderId="6" xfId="0" applyNumberFormat="1" applyFont="1" applyFill="1" applyBorder="1"/>
    <x:xf numFmtId="0" fontId="0" fillId="16" borderId="7" xfId="0" applyNumberFormat="1" applyFont="1" applyFill="1" applyBorder="1"/>
    <x:xf numFmtId="0" fontId="0" fillId="16" borderId="8" xfId="0" applyNumberFormat="1" applyFont="1" applyFill="1" applyBorder="1"/>
    <x:xf numFmtId="0" fontId="0" fillId="16" borderId="9" xfId="0" applyNumberFormat="1" applyFont="1" applyFill="1" applyBorder="1"/>
    <x:xf numFmtId="0" fontId="0" fillId="16" borderId="10" xfId="0" applyNumberFormat="1" applyFont="1" applyFill="1" applyBorder="1"/>
    <x:xf numFmtId="0" fontId="0" fillId="16" borderId="11" xfId="0" applyNumberFormat="1" applyFont="1" applyFill="1" applyBorder="1"/>
    <x:xf numFmtId="0" fontId="0" fillId="16" borderId="4" xfId="0" applyNumberFormat="1" applyFont="1" applyFill="1" applyBorder="1" applyAlignment="1">
      <x:alignment vertical="center"/>
    </x:xf>
    <x:xf numFmtId="0" fontId="0" fillId="16" borderId="5" xfId="0" applyNumberFormat="1" applyFont="1" applyFill="1" applyBorder="1" applyAlignment="1">
      <x:alignment vertical="center"/>
    </x:xf>
    <x:xf numFmtId="0" fontId="0" fillId="16" borderId="6" xfId="0" applyNumberFormat="1" applyFont="1" applyFill="1" applyBorder="1" applyAlignment="1">
      <x:alignment vertical="center"/>
    </x:xf>
    <x:xf numFmtId="0" fontId="0" fillId="16" borderId="7" xfId="0" applyNumberFormat="1" applyFont="1" applyFill="1" applyBorder="1" applyAlignment="1">
      <x:alignment vertical="center"/>
    </x:xf>
    <x:xf numFmtId="0" fontId="0" fillId="16" borderId="0" xfId="0" applyNumberFormat="1" applyFont="1" applyFill="1" applyBorder="1" applyAlignment="1">
      <x:alignment vertical="center"/>
    </x:xf>
    <x:xf numFmtId="0" fontId="0" fillId="16" borderId="8" xfId="0" applyNumberFormat="1" applyFont="1" applyFill="1" applyBorder="1" applyAlignment="1">
      <x:alignment vertical="center"/>
    </x:xf>
    <x:xf numFmtId="0" fontId="0" fillId="16" borderId="9" xfId="0" applyNumberFormat="1" applyFont="1" applyFill="1" applyBorder="1" applyAlignment="1">
      <x:alignment vertical="center"/>
    </x:xf>
    <x:xf numFmtId="0" fontId="0" fillId="16" borderId="10" xfId="0" applyNumberFormat="1" applyFont="1" applyFill="1" applyBorder="1" applyAlignment="1">
      <x:alignment vertical="center"/>
    </x:xf>
    <x:xf numFmtId="0" fontId="0" fillId="16" borderId="11" xfId="0" applyNumberFormat="1" applyFont="1" applyFill="1" applyBorder="1" applyAlignment="1">
      <x:alignment vertical="center"/>
    </x:xf>
    <x:xf numFmtId="0" fontId="0" fillId="16" borderId="1" xfId="0" applyNumberFormat="1" applyFont="1" applyFill="1" applyBorder="1"/>
    <x:xf numFmtId="0" fontId="0" fillId="16" borderId="12" xfId="0" applyNumberFormat="1" applyFont="1" applyFill="1" applyBorder="1"/>
    <x:xf numFmtId="0" fontId="0" fillId="16" borderId="13" xfId="0" applyNumberFormat="1" applyFont="1" applyFill="1" applyBorder="1"/>
    <x:xf numFmtId="0" fontId="0" fillId="16" borderId="14" xfId="0" applyNumberFormat="1" applyFont="1" applyFill="1" applyBorder="1"/>
    <x:xf numFmtId="0" fontId="0" fillId="16" borderId="15" xfId="0" applyNumberFormat="1" applyFont="1" applyFill="1" applyBorder="1"/>
    <x:xf numFmtId="0" fontId="0" fillId="16" borderId="16" xfId="0" applyNumberFormat="1" applyFont="1" applyFill="1" applyBorder="1"/>
    <x:xf numFmtId="0" fontId="0" fillId="16" borderId="17" xfId="0" applyNumberFormat="1" applyFont="1" applyFill="1" applyBorder="1"/>
    <x:xf numFmtId="0" fontId="0" fillId="16" borderId="18" xfId="0" applyNumberFormat="1" applyFont="1" applyFill="1" applyBorder="1"/>
    <x:xf numFmtId="0" fontId="0" fillId="16" borderId="19" xfId="0" applyNumberFormat="1" applyFont="1" applyFill="1" applyBorder="1"/>
    <x:xf numFmtId="0" fontId="0" fillId="16" borderId="12" xfId="0" applyNumberFormat="1" applyFont="1" applyFill="1" applyBorder="1" applyAlignment="1">
      <x:alignment vertical="center"/>
    </x:xf>
    <x:xf numFmtId="0" fontId="0" fillId="16" borderId="13" xfId="0" applyNumberFormat="1" applyFont="1" applyFill="1" applyBorder="1" applyAlignment="1">
      <x:alignment vertical="center"/>
    </x:xf>
    <x:xf numFmtId="0" fontId="0" fillId="16" borderId="14" xfId="0" applyNumberFormat="1" applyFont="1" applyFill="1" applyBorder="1" applyAlignment="1">
      <x:alignment vertical="center"/>
    </x:xf>
    <x:xf numFmtId="0" fontId="0" fillId="16" borderId="15" xfId="0" applyNumberFormat="1" applyFont="1" applyFill="1" applyBorder="1" applyAlignment="1">
      <x:alignment vertical="center"/>
    </x:xf>
    <x:xf numFmtId="0" fontId="0" fillId="16" borderId="1" xfId="0" applyNumberFormat="1" applyFont="1" applyFill="1" applyBorder="1" applyAlignment="1">
      <x:alignment vertical="center"/>
    </x:xf>
    <x:xf numFmtId="0" fontId="0" fillId="16" borderId="16" xfId="0" applyNumberFormat="1" applyFont="1" applyFill="1" applyBorder="1" applyAlignment="1">
      <x:alignment vertical="center"/>
    </x:xf>
    <x:xf numFmtId="0" fontId="0" fillId="16" borderId="17" xfId="0" applyNumberFormat="1" applyFont="1" applyFill="1" applyBorder="1" applyAlignment="1">
      <x:alignment vertical="center"/>
    </x:xf>
    <x:xf numFmtId="0" fontId="0" fillId="16" borderId="18" xfId="0" applyNumberFormat="1" applyFont="1" applyFill="1" applyBorder="1" applyAlignment="1">
      <x:alignment vertical="center"/>
    </x:xf>
    <x:xf numFmtId="0" fontId="0" fillId="16" borderId="19" xfId="0" applyNumberFormat="1" applyFont="1" applyFill="1" applyBorder="1" applyAlignment="1">
      <x:alignment vertical="center"/>
    </x:xf>
    <x:xf numFmtId="0" fontId="15" fillId="16" borderId="4" xfId="0" applyNumberFormat="1" applyFont="1" applyFill="1" applyBorder="1" applyAlignment="1">
      <x:alignment vertical="center"/>
    </x:xf>
    <x:xf numFmtId="0" fontId="15" fillId="16" borderId="12" xfId="0" applyNumberFormat="1" applyFont="1" applyFill="1" applyBorder="1" applyAlignment="1">
      <x:alignment vertical="center"/>
    </x:xf>
    <x:xf numFmtId="0" fontId="16" fillId="16" borderId="7" xfId="0" applyNumberFormat="1" applyFont="1" applyFill="1" applyBorder="1" applyAlignment="1">
      <x:alignment vertical="center"/>
    </x:xf>
    <x:xf numFmtId="0" fontId="16" fillId="16" borderId="15" xfId="0" applyNumberFormat="1" applyFont="1" applyFill="1" applyBorder="1" applyAlignment="1">
      <x:alignment vertical="center"/>
    </x:xf>
    <x:xf numFmtId="200" fontId="16" fillId="16" borderId="7" xfId="0" applyNumberFormat="1" applyFont="1" applyFill="1" applyBorder="1" applyAlignment="1">
      <x:alignment vertical="center"/>
    </x:xf>
    <x:xf numFmtId="200" fontId="16" fillId="16" borderId="15" xfId="0" applyNumberFormat="1" applyFont="1" applyFill="1" applyBorder="1" applyAlignment="1">
      <x:alignment vertical="center"/>
    </x:xf>
    <x:xf numFmtId="0" fontId="0" fillId="17" borderId="0" xfId="0" applyNumberFormat="1" applyFont="1" applyFill="1" applyBorder="1"/>
    <x:xf numFmtId="0" fontId="0" fillId="17" borderId="4" xfId="0" applyNumberFormat="1" applyFont="1" applyFill="1" applyBorder="1"/>
    <x:xf numFmtId="0" fontId="0" fillId="17" borderId="5" xfId="0" applyNumberFormat="1" applyFont="1" applyFill="1" applyBorder="1"/>
    <x:xf numFmtId="0" fontId="0" fillId="17" borderId="6" xfId="0" applyNumberFormat="1" applyFont="1" applyFill="1" applyBorder="1"/>
    <x:xf numFmtId="0" fontId="0" fillId="17" borderId="7" xfId="0" applyNumberFormat="1" applyFont="1" applyFill="1" applyBorder="1"/>
    <x:xf numFmtId="0" fontId="0" fillId="17" borderId="8" xfId="0" applyNumberFormat="1" applyFont="1" applyFill="1" applyBorder="1"/>
    <x:xf numFmtId="0" fontId="0" fillId="17" borderId="9" xfId="0" applyNumberFormat="1" applyFont="1" applyFill="1" applyBorder="1"/>
    <x:xf numFmtId="0" fontId="0" fillId="17" borderId="10" xfId="0" applyNumberFormat="1" applyFont="1" applyFill="1" applyBorder="1"/>
    <x:xf numFmtId="0" fontId="0" fillId="17" borderId="11" xfId="0" applyNumberFormat="1" applyFont="1" applyFill="1" applyBorder="1"/>
    <x:xf numFmtId="0" fontId="0" fillId="17" borderId="4" xfId="0" applyNumberFormat="1" applyFont="1" applyFill="1" applyBorder="1" applyAlignment="1">
      <x:alignment vertical="center"/>
    </x:xf>
    <x:xf numFmtId="0" fontId="0" fillId="17" borderId="5" xfId="0" applyNumberFormat="1" applyFont="1" applyFill="1" applyBorder="1" applyAlignment="1">
      <x:alignment vertical="center"/>
    </x:xf>
    <x:xf numFmtId="0" fontId="0" fillId="17" borderId="6" xfId="0" applyNumberFormat="1" applyFont="1" applyFill="1" applyBorder="1" applyAlignment="1">
      <x:alignment vertical="center"/>
    </x:xf>
    <x:xf numFmtId="0" fontId="0" fillId="17" borderId="7" xfId="0" applyNumberFormat="1" applyFont="1" applyFill="1" applyBorder="1" applyAlignment="1">
      <x:alignment vertical="center"/>
    </x:xf>
    <x:xf numFmtId="0" fontId="0" fillId="17" borderId="0" xfId="0" applyNumberFormat="1" applyFont="1" applyFill="1" applyBorder="1" applyAlignment="1">
      <x:alignment vertical="center"/>
    </x:xf>
    <x:xf numFmtId="0" fontId="0" fillId="17" borderId="8" xfId="0" applyNumberFormat="1" applyFont="1" applyFill="1" applyBorder="1" applyAlignment="1">
      <x:alignment vertical="center"/>
    </x:xf>
    <x:xf numFmtId="0" fontId="0" fillId="17" borderId="9" xfId="0" applyNumberFormat="1" applyFont="1" applyFill="1" applyBorder="1" applyAlignment="1">
      <x:alignment vertical="center"/>
    </x:xf>
    <x:xf numFmtId="0" fontId="0" fillId="17" borderId="10" xfId="0" applyNumberFormat="1" applyFont="1" applyFill="1" applyBorder="1" applyAlignment="1">
      <x:alignment vertical="center"/>
    </x:xf>
    <x:xf numFmtId="0" fontId="0" fillId="17" borderId="11" xfId="0" applyNumberFormat="1" applyFont="1" applyFill="1" applyBorder="1" applyAlignment="1">
      <x:alignment vertical="center"/>
    </x:xf>
    <x:xf numFmtId="0" fontId="0" fillId="17" borderId="1" xfId="0" applyNumberFormat="1" applyFont="1" applyFill="1" applyBorder="1"/>
    <x:xf numFmtId="0" fontId="0" fillId="17" borderId="12" xfId="0" applyNumberFormat="1" applyFont="1" applyFill="1" applyBorder="1"/>
    <x:xf numFmtId="0" fontId="0" fillId="17" borderId="13" xfId="0" applyNumberFormat="1" applyFont="1" applyFill="1" applyBorder="1"/>
    <x:xf numFmtId="0" fontId="0" fillId="17" borderId="14" xfId="0" applyNumberFormat="1" applyFont="1" applyFill="1" applyBorder="1"/>
    <x:xf numFmtId="0" fontId="0" fillId="17" borderId="15" xfId="0" applyNumberFormat="1" applyFont="1" applyFill="1" applyBorder="1"/>
    <x:xf numFmtId="0" fontId="0" fillId="17" borderId="16" xfId="0" applyNumberFormat="1" applyFont="1" applyFill="1" applyBorder="1"/>
    <x:xf numFmtId="0" fontId="0" fillId="17" borderId="17" xfId="0" applyNumberFormat="1" applyFont="1" applyFill="1" applyBorder="1"/>
    <x:xf numFmtId="0" fontId="0" fillId="17" borderId="18" xfId="0" applyNumberFormat="1" applyFont="1" applyFill="1" applyBorder="1"/>
    <x:xf numFmtId="0" fontId="0" fillId="17" borderId="19" xfId="0" applyNumberFormat="1" applyFont="1" applyFill="1" applyBorder="1"/>
    <x:xf numFmtId="0" fontId="0" fillId="17" borderId="12" xfId="0" applyNumberFormat="1" applyFont="1" applyFill="1" applyBorder="1" applyAlignment="1">
      <x:alignment vertical="center"/>
    </x:xf>
    <x:xf numFmtId="0" fontId="0" fillId="17" borderId="13" xfId="0" applyNumberFormat="1" applyFont="1" applyFill="1" applyBorder="1" applyAlignment="1">
      <x:alignment vertical="center"/>
    </x:xf>
    <x:xf numFmtId="0" fontId="0" fillId="17" borderId="14" xfId="0" applyNumberFormat="1" applyFont="1" applyFill="1" applyBorder="1" applyAlignment="1">
      <x:alignment vertical="center"/>
    </x:xf>
    <x:xf numFmtId="0" fontId="0" fillId="17" borderId="15" xfId="0" applyNumberFormat="1" applyFont="1" applyFill="1" applyBorder="1" applyAlignment="1">
      <x:alignment vertical="center"/>
    </x:xf>
    <x:xf numFmtId="0" fontId="0" fillId="17" borderId="1" xfId="0" applyNumberFormat="1" applyFont="1" applyFill="1" applyBorder="1" applyAlignment="1">
      <x:alignment vertical="center"/>
    </x:xf>
    <x:xf numFmtId="0" fontId="0" fillId="17" borderId="16" xfId="0" applyNumberFormat="1" applyFont="1" applyFill="1" applyBorder="1" applyAlignment="1">
      <x:alignment vertical="center"/>
    </x:xf>
    <x:xf numFmtId="0" fontId="0" fillId="17" borderId="17" xfId="0" applyNumberFormat="1" applyFont="1" applyFill="1" applyBorder="1" applyAlignment="1">
      <x:alignment vertical="center"/>
    </x:xf>
    <x:xf numFmtId="0" fontId="0" fillId="17" borderId="18" xfId="0" applyNumberFormat="1" applyFont="1" applyFill="1" applyBorder="1" applyAlignment="1">
      <x:alignment vertical="center"/>
    </x:xf>
    <x:xf numFmtId="0" fontId="0" fillId="17" borderId="19" xfId="0" applyNumberFormat="1" applyFont="1" applyFill="1" applyBorder="1" applyAlignment="1">
      <x:alignment vertical="center"/>
    </x:xf>
    <x:xf numFmtId="0" fontId="15" fillId="17" borderId="4" xfId="0" applyNumberFormat="1" applyFont="1" applyFill="1" applyBorder="1" applyAlignment="1">
      <x:alignment vertical="center"/>
    </x:xf>
    <x:xf numFmtId="0" fontId="15" fillId="17" borderId="12" xfId="0" applyNumberFormat="1" applyFont="1" applyFill="1" applyBorder="1" applyAlignment="1">
      <x:alignment vertical="center"/>
    </x:xf>
    <x:xf numFmtId="0" fontId="16" fillId="17" borderId="7" xfId="0" applyNumberFormat="1" applyFont="1" applyFill="1" applyBorder="1" applyAlignment="1">
      <x:alignment vertical="center"/>
    </x:xf>
    <x:xf numFmtId="0" fontId="16" fillId="17" borderId="15" xfId="0" applyNumberFormat="1" applyFont="1" applyFill="1" applyBorder="1" applyAlignment="1">
      <x:alignment vertical="center"/>
    </x:xf>
    <x:xf numFmtId="205" fontId="16" fillId="17" borderId="7" xfId="0" applyNumberFormat="1" applyFont="1" applyFill="1" applyBorder="1" applyAlignment="1">
      <x:alignment vertical="center"/>
    </x:xf>
    <x:xf numFmtId="205" fontId="16" fillId="17" borderId="15" xfId="0" applyNumberFormat="1" applyFont="1" applyFill="1" applyBorder="1" applyAlignment="1">
      <x:alignment vertical="center"/>
    </x:xf>
    <x:xf numFmtId="0" fontId="0" fillId="18" borderId="0" xfId="0" applyNumberFormat="1" applyFont="1" applyFill="1" applyBorder="1"/>
    <x:xf numFmtId="0" fontId="0" fillId="18" borderId="4" xfId="0" applyNumberFormat="1" applyFont="1" applyFill="1" applyBorder="1"/>
    <x:xf numFmtId="0" fontId="0" fillId="18" borderId="5" xfId="0" applyNumberFormat="1" applyFont="1" applyFill="1" applyBorder="1"/>
    <x:xf numFmtId="0" fontId="0" fillId="18" borderId="6" xfId="0" applyNumberFormat="1" applyFont="1" applyFill="1" applyBorder="1"/>
    <x:xf numFmtId="0" fontId="0" fillId="18" borderId="7" xfId="0" applyNumberFormat="1" applyFont="1" applyFill="1" applyBorder="1"/>
    <x:xf numFmtId="0" fontId="0" fillId="18" borderId="8" xfId="0" applyNumberFormat="1" applyFont="1" applyFill="1" applyBorder="1"/>
    <x:xf numFmtId="0" fontId="0" fillId="18" borderId="9" xfId="0" applyNumberFormat="1" applyFont="1" applyFill="1" applyBorder="1"/>
    <x:xf numFmtId="0" fontId="0" fillId="18" borderId="10" xfId="0" applyNumberFormat="1" applyFont="1" applyFill="1" applyBorder="1"/>
    <x:xf numFmtId="0" fontId="0" fillId="18" borderId="11" xfId="0" applyNumberFormat="1" applyFont="1" applyFill="1" applyBorder="1"/>
    <x:xf numFmtId="0" fontId="0" fillId="18" borderId="4" xfId="0" applyNumberFormat="1" applyFont="1" applyFill="1" applyBorder="1" applyAlignment="1">
      <x:alignment vertical="center"/>
    </x:xf>
    <x:xf numFmtId="0" fontId="0" fillId="18" borderId="5" xfId="0" applyNumberFormat="1" applyFont="1" applyFill="1" applyBorder="1" applyAlignment="1">
      <x:alignment vertical="center"/>
    </x:xf>
    <x:xf numFmtId="0" fontId="0" fillId="18" borderId="6" xfId="0" applyNumberFormat="1" applyFont="1" applyFill="1" applyBorder="1" applyAlignment="1">
      <x:alignment vertical="center"/>
    </x:xf>
    <x:xf numFmtId="0" fontId="0" fillId="18" borderId="7" xfId="0" applyNumberFormat="1" applyFont="1" applyFill="1" applyBorder="1" applyAlignment="1">
      <x:alignment vertical="center"/>
    </x:xf>
    <x:xf numFmtId="0" fontId="0" fillId="18" borderId="0" xfId="0" applyNumberFormat="1" applyFont="1" applyFill="1" applyBorder="1" applyAlignment="1">
      <x:alignment vertical="center"/>
    </x:xf>
    <x:xf numFmtId="0" fontId="0" fillId="18" borderId="8" xfId="0" applyNumberFormat="1" applyFont="1" applyFill="1" applyBorder="1" applyAlignment="1">
      <x:alignment vertical="center"/>
    </x:xf>
    <x:xf numFmtId="0" fontId="0" fillId="18" borderId="9" xfId="0" applyNumberFormat="1" applyFont="1" applyFill="1" applyBorder="1" applyAlignment="1">
      <x:alignment vertical="center"/>
    </x:xf>
    <x:xf numFmtId="0" fontId="0" fillId="18" borderId="10" xfId="0" applyNumberFormat="1" applyFont="1" applyFill="1" applyBorder="1" applyAlignment="1">
      <x:alignment vertical="center"/>
    </x:xf>
    <x:xf numFmtId="0" fontId="0" fillId="18" borderId="11" xfId="0" applyNumberFormat="1" applyFont="1" applyFill="1" applyBorder="1" applyAlignment="1">
      <x:alignment vertical="center"/>
    </x:xf>
    <x:xf numFmtId="0" fontId="0" fillId="18" borderId="1" xfId="0" applyNumberFormat="1" applyFont="1" applyFill="1" applyBorder="1"/>
    <x:xf numFmtId="0" fontId="0" fillId="18" borderId="12" xfId="0" applyNumberFormat="1" applyFont="1" applyFill="1" applyBorder="1"/>
    <x:xf numFmtId="0" fontId="0" fillId="18" borderId="13" xfId="0" applyNumberFormat="1" applyFont="1" applyFill="1" applyBorder="1"/>
    <x:xf numFmtId="0" fontId="0" fillId="18" borderId="14" xfId="0" applyNumberFormat="1" applyFont="1" applyFill="1" applyBorder="1"/>
    <x:xf numFmtId="0" fontId="0" fillId="18" borderId="15" xfId="0" applyNumberFormat="1" applyFont="1" applyFill="1" applyBorder="1"/>
    <x:xf numFmtId="0" fontId="0" fillId="18" borderId="16" xfId="0" applyNumberFormat="1" applyFont="1" applyFill="1" applyBorder="1"/>
    <x:xf numFmtId="0" fontId="0" fillId="18" borderId="17" xfId="0" applyNumberFormat="1" applyFont="1" applyFill="1" applyBorder="1"/>
    <x:xf numFmtId="0" fontId="0" fillId="18" borderId="18" xfId="0" applyNumberFormat="1" applyFont="1" applyFill="1" applyBorder="1"/>
    <x:xf numFmtId="0" fontId="0" fillId="18" borderId="19" xfId="0" applyNumberFormat="1" applyFont="1" applyFill="1" applyBorder="1"/>
    <x:xf numFmtId="0" fontId="0" fillId="18" borderId="12" xfId="0" applyNumberFormat="1" applyFont="1" applyFill="1" applyBorder="1" applyAlignment="1">
      <x:alignment vertical="center"/>
    </x:xf>
    <x:xf numFmtId="0" fontId="0" fillId="18" borderId="13" xfId="0" applyNumberFormat="1" applyFont="1" applyFill="1" applyBorder="1" applyAlignment="1">
      <x:alignment vertical="center"/>
    </x:xf>
    <x:xf numFmtId="0" fontId="0" fillId="18" borderId="14" xfId="0" applyNumberFormat="1" applyFont="1" applyFill="1" applyBorder="1" applyAlignment="1">
      <x:alignment vertical="center"/>
    </x:xf>
    <x:xf numFmtId="0" fontId="0" fillId="18" borderId="15" xfId="0" applyNumberFormat="1" applyFont="1" applyFill="1" applyBorder="1" applyAlignment="1">
      <x:alignment vertical="center"/>
    </x:xf>
    <x:xf numFmtId="0" fontId="0" fillId="18" borderId="1" xfId="0" applyNumberFormat="1" applyFont="1" applyFill="1" applyBorder="1" applyAlignment="1">
      <x:alignment vertical="center"/>
    </x:xf>
    <x:xf numFmtId="0" fontId="0" fillId="18" borderId="16" xfId="0" applyNumberFormat="1" applyFont="1" applyFill="1" applyBorder="1" applyAlignment="1">
      <x:alignment vertical="center"/>
    </x:xf>
    <x:xf numFmtId="0" fontId="0" fillId="18" borderId="17" xfId="0" applyNumberFormat="1" applyFont="1" applyFill="1" applyBorder="1" applyAlignment="1">
      <x:alignment vertical="center"/>
    </x:xf>
    <x:xf numFmtId="0" fontId="0" fillId="18" borderId="18" xfId="0" applyNumberFormat="1" applyFont="1" applyFill="1" applyBorder="1" applyAlignment="1">
      <x:alignment vertical="center"/>
    </x:xf>
    <x:xf numFmtId="0" fontId="0" fillId="18" borderId="19" xfId="0" applyNumberFormat="1" applyFont="1" applyFill="1" applyBorder="1" applyAlignment="1">
      <x:alignment vertical="center"/>
    </x:xf>
    <x:xf numFmtId="0" fontId="15" fillId="18" borderId="4" xfId="0" applyNumberFormat="1" applyFont="1" applyFill="1" applyBorder="1" applyAlignment="1">
      <x:alignment vertical="center"/>
    </x:xf>
    <x:xf numFmtId="0" fontId="15" fillId="18" borderId="12" xfId="0" applyNumberFormat="1" applyFont="1" applyFill="1" applyBorder="1" applyAlignment="1">
      <x:alignment vertical="center"/>
    </x:xf>
    <x:xf numFmtId="0" fontId="16" fillId="18" borderId="7" xfId="0" applyNumberFormat="1" applyFont="1" applyFill="1" applyBorder="1" applyAlignment="1">
      <x:alignment vertical="center"/>
    </x:xf>
    <x:xf numFmtId="0" fontId="16" fillId="18" borderId="15" xfId="0" applyNumberFormat="1" applyFont="1" applyFill="1" applyBorder="1" applyAlignment="1">
      <x:alignment vertical="center"/>
    </x:xf>
    <x:xf numFmtId="205" fontId="16" fillId="18" borderId="7" xfId="0" applyNumberFormat="1" applyFont="1" applyFill="1" applyBorder="1" applyAlignment="1">
      <x:alignment vertical="center"/>
    </x:xf>
    <x:xf numFmtId="205" fontId="16" fillId="18" borderId="15" xfId="0" applyNumberFormat="1" applyFont="1" applyFill="1" applyBorder="1" applyAlignment="1">
      <x:alignment vertical="center"/>
    </x:xf>
    <x:xf numFmtId="0" fontId="0" fillId="19" borderId="0" xfId="0" applyNumberFormat="1" applyFont="1" applyFill="1" applyBorder="1"/>
    <x:xf numFmtId="0" fontId="0" fillId="19" borderId="4" xfId="0" applyNumberFormat="1" applyFont="1" applyFill="1" applyBorder="1"/>
    <x:xf numFmtId="0" fontId="0" fillId="19" borderId="5" xfId="0" applyNumberFormat="1" applyFont="1" applyFill="1" applyBorder="1"/>
    <x:xf numFmtId="0" fontId="0" fillId="19" borderId="6" xfId="0" applyNumberFormat="1" applyFont="1" applyFill="1" applyBorder="1"/>
    <x:xf numFmtId="0" fontId="0" fillId="19" borderId="7" xfId="0" applyNumberFormat="1" applyFont="1" applyFill="1" applyBorder="1"/>
    <x:xf numFmtId="0" fontId="0" fillId="19" borderId="8" xfId="0" applyNumberFormat="1" applyFont="1" applyFill="1" applyBorder="1"/>
    <x:xf numFmtId="0" fontId="0" fillId="19" borderId="9" xfId="0" applyNumberFormat="1" applyFont="1" applyFill="1" applyBorder="1"/>
    <x:xf numFmtId="0" fontId="0" fillId="19" borderId="10" xfId="0" applyNumberFormat="1" applyFont="1" applyFill="1" applyBorder="1"/>
    <x:xf numFmtId="0" fontId="0" fillId="19" borderId="11" xfId="0" applyNumberFormat="1" applyFont="1" applyFill="1" applyBorder="1"/>
    <x:xf numFmtId="0" fontId="0" fillId="19" borderId="4" xfId="0" applyNumberFormat="1" applyFont="1" applyFill="1" applyBorder="1" applyAlignment="1">
      <x:alignment vertical="center"/>
    </x:xf>
    <x:xf numFmtId="0" fontId="0" fillId="19" borderId="5" xfId="0" applyNumberFormat="1" applyFont="1" applyFill="1" applyBorder="1" applyAlignment="1">
      <x:alignment vertical="center"/>
    </x:xf>
    <x:xf numFmtId="0" fontId="0" fillId="19" borderId="6" xfId="0" applyNumberFormat="1" applyFont="1" applyFill="1" applyBorder="1" applyAlignment="1">
      <x:alignment vertical="center"/>
    </x:xf>
    <x:xf numFmtId="0" fontId="0" fillId="19" borderId="7" xfId="0" applyNumberFormat="1" applyFont="1" applyFill="1" applyBorder="1" applyAlignment="1">
      <x:alignment vertical="center"/>
    </x:xf>
    <x:xf numFmtId="0" fontId="0" fillId="19" borderId="0" xfId="0" applyNumberFormat="1" applyFont="1" applyFill="1" applyBorder="1" applyAlignment="1">
      <x:alignment vertical="center"/>
    </x:xf>
    <x:xf numFmtId="0" fontId="0" fillId="19" borderId="8" xfId="0" applyNumberFormat="1" applyFont="1" applyFill="1" applyBorder="1" applyAlignment="1">
      <x:alignment vertical="center"/>
    </x:xf>
    <x:xf numFmtId="0" fontId="0" fillId="19" borderId="9" xfId="0" applyNumberFormat="1" applyFont="1" applyFill="1" applyBorder="1" applyAlignment="1">
      <x:alignment vertical="center"/>
    </x:xf>
    <x:xf numFmtId="0" fontId="0" fillId="19" borderId="10" xfId="0" applyNumberFormat="1" applyFont="1" applyFill="1" applyBorder="1" applyAlignment="1">
      <x:alignment vertical="center"/>
    </x:xf>
    <x:xf numFmtId="0" fontId="0" fillId="19" borderId="11" xfId="0" applyNumberFormat="1" applyFont="1" applyFill="1" applyBorder="1" applyAlignment="1">
      <x:alignment vertical="center"/>
    </x:xf>
    <x:xf numFmtId="0" fontId="0" fillId="19" borderId="1" xfId="0" applyNumberFormat="1" applyFont="1" applyFill="1" applyBorder="1"/>
    <x:xf numFmtId="0" fontId="0" fillId="19" borderId="12" xfId="0" applyNumberFormat="1" applyFont="1" applyFill="1" applyBorder="1"/>
    <x:xf numFmtId="0" fontId="0" fillId="19" borderId="13" xfId="0" applyNumberFormat="1" applyFont="1" applyFill="1" applyBorder="1"/>
    <x:xf numFmtId="0" fontId="0" fillId="19" borderId="14" xfId="0" applyNumberFormat="1" applyFont="1" applyFill="1" applyBorder="1"/>
    <x:xf numFmtId="0" fontId="0" fillId="19" borderId="15" xfId="0" applyNumberFormat="1" applyFont="1" applyFill="1" applyBorder="1"/>
    <x:xf numFmtId="0" fontId="0" fillId="19" borderId="16" xfId="0" applyNumberFormat="1" applyFont="1" applyFill="1" applyBorder="1"/>
    <x:xf numFmtId="0" fontId="0" fillId="19" borderId="17" xfId="0" applyNumberFormat="1" applyFont="1" applyFill="1" applyBorder="1"/>
    <x:xf numFmtId="0" fontId="0" fillId="19" borderId="18" xfId="0" applyNumberFormat="1" applyFont="1" applyFill="1" applyBorder="1"/>
    <x:xf numFmtId="0" fontId="0" fillId="19" borderId="19" xfId="0" applyNumberFormat="1" applyFont="1" applyFill="1" applyBorder="1"/>
    <x:xf numFmtId="0" fontId="0" fillId="19" borderId="12" xfId="0" applyNumberFormat="1" applyFont="1" applyFill="1" applyBorder="1" applyAlignment="1">
      <x:alignment vertical="center"/>
    </x:xf>
    <x:xf numFmtId="0" fontId="0" fillId="19" borderId="13" xfId="0" applyNumberFormat="1" applyFont="1" applyFill="1" applyBorder="1" applyAlignment="1">
      <x:alignment vertical="center"/>
    </x:xf>
    <x:xf numFmtId="0" fontId="0" fillId="19" borderId="14" xfId="0" applyNumberFormat="1" applyFont="1" applyFill="1" applyBorder="1" applyAlignment="1">
      <x:alignment vertical="center"/>
    </x:xf>
    <x:xf numFmtId="0" fontId="0" fillId="19" borderId="15" xfId="0" applyNumberFormat="1" applyFont="1" applyFill="1" applyBorder="1" applyAlignment="1">
      <x:alignment vertical="center"/>
    </x:xf>
    <x:xf numFmtId="0" fontId="0" fillId="19" borderId="1" xfId="0" applyNumberFormat="1" applyFont="1" applyFill="1" applyBorder="1" applyAlignment="1">
      <x:alignment vertical="center"/>
    </x:xf>
    <x:xf numFmtId="0" fontId="0" fillId="19" borderId="16" xfId="0" applyNumberFormat="1" applyFont="1" applyFill="1" applyBorder="1" applyAlignment="1">
      <x:alignment vertical="center"/>
    </x:xf>
    <x:xf numFmtId="0" fontId="0" fillId="19" borderId="17" xfId="0" applyNumberFormat="1" applyFont="1" applyFill="1" applyBorder="1" applyAlignment="1">
      <x:alignment vertical="center"/>
    </x:xf>
    <x:xf numFmtId="0" fontId="0" fillId="19" borderId="18" xfId="0" applyNumberFormat="1" applyFont="1" applyFill="1" applyBorder="1" applyAlignment="1">
      <x:alignment vertical="center"/>
    </x:xf>
    <x:xf numFmtId="0" fontId="0" fillId="19" borderId="19" xfId="0" applyNumberFormat="1" applyFont="1" applyFill="1" applyBorder="1" applyAlignment="1">
      <x:alignment vertical="center"/>
    </x:xf>
    <x:xf numFmtId="0" fontId="15" fillId="19" borderId="4" xfId="0" applyNumberFormat="1" applyFont="1" applyFill="1" applyBorder="1" applyAlignment="1">
      <x:alignment vertical="center"/>
    </x:xf>
    <x:xf numFmtId="0" fontId="15" fillId="19" borderId="12" xfId="0" applyNumberFormat="1" applyFont="1" applyFill="1" applyBorder="1" applyAlignment="1">
      <x:alignment vertical="center"/>
    </x:xf>
    <x:xf numFmtId="0" fontId="16" fillId="19" borderId="7" xfId="0" applyNumberFormat="1" applyFont="1" applyFill="1" applyBorder="1" applyAlignment="1">
      <x:alignment vertical="center"/>
    </x:xf>
    <x:xf numFmtId="0" fontId="16" fillId="19" borderId="15" xfId="0" applyNumberFormat="1" applyFont="1" applyFill="1" applyBorder="1" applyAlignment="1">
      <x:alignment vertical="center"/>
    </x:xf>
    <x:xf numFmtId="205" fontId="16" fillId="19" borderId="7" xfId="0" applyNumberFormat="1" applyFont="1" applyFill="1" applyBorder="1" applyAlignment="1">
      <x:alignment vertical="center"/>
    </x:xf>
    <x:xf numFmtId="205" fontId="16" fillId="19" borderId="15" xfId="0" applyNumberFormat="1" applyFont="1" applyFill="1" applyBorder="1" applyAlignment="1">
      <x:alignment vertical="center"/>
    </x:xf>
    <x:xf numFmtId="0" fontId="0" fillId="20" borderId="0" xfId="0" applyNumberFormat="1" applyFont="1" applyFill="1" applyBorder="1"/>
    <x:xf numFmtId="0" fontId="0" fillId="20" borderId="4" xfId="0" applyNumberFormat="1" applyFont="1" applyFill="1" applyBorder="1"/>
    <x:xf numFmtId="0" fontId="0" fillId="20" borderId="5" xfId="0" applyNumberFormat="1" applyFont="1" applyFill="1" applyBorder="1"/>
    <x:xf numFmtId="0" fontId="0" fillId="20" borderId="6" xfId="0" applyNumberFormat="1" applyFont="1" applyFill="1" applyBorder="1"/>
    <x:xf numFmtId="0" fontId="0" fillId="20" borderId="7" xfId="0" applyNumberFormat="1" applyFont="1" applyFill="1" applyBorder="1"/>
    <x:xf numFmtId="0" fontId="0" fillId="20" borderId="8" xfId="0" applyNumberFormat="1" applyFont="1" applyFill="1" applyBorder="1"/>
    <x:xf numFmtId="0" fontId="0" fillId="20" borderId="9" xfId="0" applyNumberFormat="1" applyFont="1" applyFill="1" applyBorder="1"/>
    <x:xf numFmtId="0" fontId="0" fillId="20" borderId="10" xfId="0" applyNumberFormat="1" applyFont="1" applyFill="1" applyBorder="1"/>
    <x:xf numFmtId="0" fontId="0" fillId="20" borderId="11" xfId="0" applyNumberFormat="1" applyFont="1" applyFill="1" applyBorder="1"/>
    <x:xf numFmtId="0" fontId="0" fillId="20" borderId="4" xfId="0" applyNumberFormat="1" applyFont="1" applyFill="1" applyBorder="1" applyAlignment="1">
      <x:alignment vertical="center"/>
    </x:xf>
    <x:xf numFmtId="0" fontId="0" fillId="20" borderId="5" xfId="0" applyNumberFormat="1" applyFont="1" applyFill="1" applyBorder="1" applyAlignment="1">
      <x:alignment vertical="center"/>
    </x:xf>
    <x:xf numFmtId="0" fontId="0" fillId="20" borderId="6" xfId="0" applyNumberFormat="1" applyFont="1" applyFill="1" applyBorder="1" applyAlignment="1">
      <x:alignment vertical="center"/>
    </x:xf>
    <x:xf numFmtId="0" fontId="0" fillId="20" borderId="7" xfId="0" applyNumberFormat="1" applyFont="1" applyFill="1" applyBorder="1" applyAlignment="1">
      <x:alignment vertical="center"/>
    </x:xf>
    <x:xf numFmtId="0" fontId="0" fillId="20" borderId="0" xfId="0" applyNumberFormat="1" applyFont="1" applyFill="1" applyBorder="1" applyAlignment="1">
      <x:alignment vertical="center"/>
    </x:xf>
    <x:xf numFmtId="0" fontId="0" fillId="20" borderId="8" xfId="0" applyNumberFormat="1" applyFont="1" applyFill="1" applyBorder="1" applyAlignment="1">
      <x:alignment vertical="center"/>
    </x:xf>
    <x:xf numFmtId="0" fontId="0" fillId="20" borderId="9" xfId="0" applyNumberFormat="1" applyFont="1" applyFill="1" applyBorder="1" applyAlignment="1">
      <x:alignment vertical="center"/>
    </x:xf>
    <x:xf numFmtId="0" fontId="0" fillId="20" borderId="10" xfId="0" applyNumberFormat="1" applyFont="1" applyFill="1" applyBorder="1" applyAlignment="1">
      <x:alignment vertical="center"/>
    </x:xf>
    <x:xf numFmtId="0" fontId="0" fillId="20" borderId="11" xfId="0" applyNumberFormat="1" applyFont="1" applyFill="1" applyBorder="1" applyAlignment="1">
      <x:alignment vertical="center"/>
    </x:xf>
    <x:xf numFmtId="0" fontId="0" fillId="20" borderId="1" xfId="0" applyNumberFormat="1" applyFont="1" applyFill="1" applyBorder="1"/>
    <x:xf numFmtId="0" fontId="0" fillId="20" borderId="12" xfId="0" applyNumberFormat="1" applyFont="1" applyFill="1" applyBorder="1"/>
    <x:xf numFmtId="0" fontId="0" fillId="20" borderId="13" xfId="0" applyNumberFormat="1" applyFont="1" applyFill="1" applyBorder="1"/>
    <x:xf numFmtId="0" fontId="0" fillId="20" borderId="14" xfId="0" applyNumberFormat="1" applyFont="1" applyFill="1" applyBorder="1"/>
    <x:xf numFmtId="0" fontId="0" fillId="20" borderId="15" xfId="0" applyNumberFormat="1" applyFont="1" applyFill="1" applyBorder="1"/>
    <x:xf numFmtId="0" fontId="0" fillId="20" borderId="16" xfId="0" applyNumberFormat="1" applyFont="1" applyFill="1" applyBorder="1"/>
    <x:xf numFmtId="0" fontId="0" fillId="20" borderId="17" xfId="0" applyNumberFormat="1" applyFont="1" applyFill="1" applyBorder="1"/>
    <x:xf numFmtId="0" fontId="0" fillId="20" borderId="18" xfId="0" applyNumberFormat="1" applyFont="1" applyFill="1" applyBorder="1"/>
    <x:xf numFmtId="0" fontId="0" fillId="20" borderId="19" xfId="0" applyNumberFormat="1" applyFont="1" applyFill="1" applyBorder="1"/>
    <x:xf numFmtId="0" fontId="0" fillId="20" borderId="12" xfId="0" applyNumberFormat="1" applyFont="1" applyFill="1" applyBorder="1" applyAlignment="1">
      <x:alignment vertical="center"/>
    </x:xf>
    <x:xf numFmtId="0" fontId="0" fillId="20" borderId="13" xfId="0" applyNumberFormat="1" applyFont="1" applyFill="1" applyBorder="1" applyAlignment="1">
      <x:alignment vertical="center"/>
    </x:xf>
    <x:xf numFmtId="0" fontId="0" fillId="20" borderId="14" xfId="0" applyNumberFormat="1" applyFont="1" applyFill="1" applyBorder="1" applyAlignment="1">
      <x:alignment vertical="center"/>
    </x:xf>
    <x:xf numFmtId="0" fontId="0" fillId="20" borderId="15" xfId="0" applyNumberFormat="1" applyFont="1" applyFill="1" applyBorder="1" applyAlignment="1">
      <x:alignment vertical="center"/>
    </x:xf>
    <x:xf numFmtId="0" fontId="0" fillId="20" borderId="1" xfId="0" applyNumberFormat="1" applyFont="1" applyFill="1" applyBorder="1" applyAlignment="1">
      <x:alignment vertical="center"/>
    </x:xf>
    <x:xf numFmtId="0" fontId="0" fillId="20" borderId="16" xfId="0" applyNumberFormat="1" applyFont="1" applyFill="1" applyBorder="1" applyAlignment="1">
      <x:alignment vertical="center"/>
    </x:xf>
    <x:xf numFmtId="0" fontId="0" fillId="20" borderId="17" xfId="0" applyNumberFormat="1" applyFont="1" applyFill="1" applyBorder="1" applyAlignment="1">
      <x:alignment vertical="center"/>
    </x:xf>
    <x:xf numFmtId="0" fontId="0" fillId="20" borderId="18" xfId="0" applyNumberFormat="1" applyFont="1" applyFill="1" applyBorder="1" applyAlignment="1">
      <x:alignment vertical="center"/>
    </x:xf>
    <x:xf numFmtId="0" fontId="0" fillId="20" borderId="19" xfId="0" applyNumberFormat="1" applyFont="1" applyFill="1" applyBorder="1" applyAlignment="1">
      <x:alignment vertical="center"/>
    </x:xf>
    <x:xf numFmtId="0" fontId="15" fillId="20" borderId="4" xfId="0" applyNumberFormat="1" applyFont="1" applyFill="1" applyBorder="1" applyAlignment="1">
      <x:alignment vertical="center"/>
    </x:xf>
    <x:xf numFmtId="0" fontId="15" fillId="20" borderId="12" xfId="0" applyNumberFormat="1" applyFont="1" applyFill="1" applyBorder="1" applyAlignment="1">
      <x:alignment vertical="center"/>
    </x:xf>
    <x:xf numFmtId="0" fontId="16" fillId="20" borderId="7" xfId="0" applyNumberFormat="1" applyFont="1" applyFill="1" applyBorder="1" applyAlignment="1">
      <x:alignment vertical="center"/>
    </x:xf>
    <x:xf numFmtId="0" fontId="16" fillId="20" borderId="15" xfId="0" applyNumberFormat="1" applyFont="1" applyFill="1" applyBorder="1" applyAlignment="1">
      <x:alignment vertical="center"/>
    </x:xf>
    <x:xf numFmtId="205" fontId="16" fillId="20" borderId="7" xfId="0" applyNumberFormat="1" applyFont="1" applyFill="1" applyBorder="1" applyAlignment="1">
      <x:alignment vertical="center"/>
    </x:xf>
    <x:xf numFmtId="205" fontId="16" fillId="20" borderId="15" xfId="0" applyNumberFormat="1" applyFont="1" applyFill="1" applyBorder="1" applyAlignment="1">
      <x:alignment vertical="center"/>
    </x:xf>
    <x:xf numFmtId="0" fontId="0" fillId="21" borderId="0" xfId="0" applyNumberFormat="1" applyFont="1" applyFill="1" applyBorder="1"/>
    <x:xf numFmtId="0" fontId="17" fillId="21" borderId="0" xfId="0" applyNumberFormat="1" applyFont="1" applyFill="1" applyBorder="1"/>
    <x:xf numFmtId="0" fontId="17" fillId="21" borderId="0" xfId="0" applyNumberFormat="1" applyFont="1" applyFill="1" applyBorder="1" applyAlignment="1">
      <x:alignment wrapText="1"/>
    </x:xf>
    <x:xf numFmtId="0" fontId="0" fillId="21" borderId="1" xfId="0" applyNumberFormat="1" applyFont="1" applyFill="1" applyBorder="1"/>
    <x:xf numFmtId="0" fontId="17" fillId="21" borderId="1" xfId="0" applyNumberFormat="1" applyFont="1" applyFill="1" applyBorder="1"/>
    <x:xf numFmtId="0" fontId="17" fillId="21" borderId="1" xfId="0" applyNumberFormat="1" applyFont="1" applyFill="1" applyBorder="1" applyAlignment="1">
      <x:alignment wrapText="1"/>
    </x:xf>
    <x:xf numFmtId="0" fontId="0" fillId="22" borderId="0" xfId="0" applyNumberFormat="1" applyFont="1" applyFill="1" applyBorder="1"/>
    <x:xf numFmtId="0" fontId="18" fillId="22" borderId="0" xfId="0" applyNumberFormat="1" applyFont="1" applyFill="1" applyBorder="1"/>
    <x:xf numFmtId="0" fontId="18" fillId="22" borderId="0" xfId="0" applyNumberFormat="1" applyFont="1" applyFill="1" applyBorder="1" applyAlignment="1">
      <x:alignment horizontal="center"/>
    </x:xf>
    <x:xf numFmtId="0" fontId="18" fillId="22" borderId="0" xfId="0" applyNumberFormat="1" applyFont="1" applyFill="1" applyBorder="1" applyAlignment="1">
      <x:alignment horizontal="center" vertical="center"/>
    </x:xf>
    <x:xf numFmtId="0" fontId="0" fillId="22" borderId="1" xfId="0" applyNumberFormat="1" applyFont="1" applyFill="1" applyBorder="1"/>
    <x:xf numFmtId="0" fontId="18" fillId="22" borderId="1" xfId="0" applyNumberFormat="1" applyFont="1" applyFill="1" applyBorder="1"/>
    <x:xf numFmtId="0" fontId="18" fillId="22" borderId="1" xfId="0" applyNumberFormat="1" applyFont="1" applyFill="1" applyBorder="1" applyAlignment="1">
      <x:alignment horizontal="center"/>
    </x:xf>
    <x:xf numFmtId="0" fontId="18" fillId="22" borderId="1" xfId="0" applyNumberFormat="1" applyFont="1" applyFill="1" applyBorder="1" applyAlignment="1">
      <x:alignment horizontal="center" vertical="center"/>
    </x:xf>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1" xfId="0" applyNumberFormat="1" applyFont="1" applyFill="1" applyBorder="1"/>
    <x:xf numFmtId="0" fontId="19" fillId="0" borderId="1" xfId="0" applyNumberFormat="1" applyFont="1" applyFill="1" applyBorder="1" applyAlignment="1">
      <x:alignment wrapText="1"/>
    </x:xf>
    <x:xf numFmtId="0" fontId="2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468b2624a045e8" /><Relationship Type="http://schemas.openxmlformats.org/officeDocument/2006/relationships/theme" Target="/xl/theme/theme1.xml" Id="Re0f0dbab9b93431a" /><Relationship Type="http://schemas.openxmlformats.org/officeDocument/2006/relationships/sharedStrings" Target="/xl/sharedStrings.xml" Id="R750cbfb7045a493d" /><Relationship Type="http://schemas.openxmlformats.org/officeDocument/2006/relationships/worksheet" Target="/xl/worksheets/sheet1.xml" Id="R8fd6c49fd1a04eea" /><Relationship Type="http://schemas.openxmlformats.org/officeDocument/2006/relationships/worksheet" Target="/xl/worksheets/sheet2.xml" Id="R92bd07c7de12495e" /><Relationship Type="http://schemas.openxmlformats.org/officeDocument/2006/relationships/worksheet" Target="/xl/worksheets/sheet3.xml" Id="Ra45c02cd64054a90" /><Relationship Type="http://schemas.openxmlformats.org/officeDocument/2006/relationships/worksheet" Target="/xl/worksheets/sheet4.xml" Id="Rb3b78de4ef094e0b" /><Relationship Type="http://schemas.openxmlformats.org/officeDocument/2006/relationships/worksheet" Target="/xl/worksheets/sheet5.xml" Id="R656e09c583334245" /><Relationship Type="http://schemas.openxmlformats.org/officeDocument/2006/relationships/worksheet" Target="/xl/worksheets/sheet6.xml" Id="R6b9e0f9e82434e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6868ab3ca8774525" /><Relationship Type="http://schemas.openxmlformats.org/officeDocument/2006/relationships/chart" Target="/xl/drawings/charts/chart2.xml" Id="R2b2220ae5e48471b" /><Relationship Type="http://schemas.openxmlformats.org/officeDocument/2006/relationships/chart" Target="/xl/drawings/charts/chart3.xml" Id="Rbb86a4f4a0314636" /><Relationship Type="http://schemas.openxmlformats.org/officeDocument/2006/relationships/chart" Target="/xl/drawings/charts/chart4.xml" Id="R7a40c7558edb4ad7" /></Relationships>
</file>

<file path=xl/drawings/charts/chart1.xml><?xml version="1.0" encoding="utf-8"?>
<c:chartSpace xmlns:c="http://schemas.openxmlformats.org/drawingml/2006/chart">
  <c:lang val="en-US"/>
  <c:roundedCorners val="0"/>
  <c:chart>
    <c:plotArea>
      <c:lineChart>
        <c:grouping val="standard"/>
        <c:varyColors val="0"/>
        <c:ser>
          <c:idx val="0"/>
          <c:order val="0"/>
          <c:tx>
            <c:v>Net earnings ($)</c:v>
          </c:tx>
          <c:marker>
            <c:symbol val="none"/>
          </c:marker>
          <c:cat>
            <c:strRef>
              <c:f>'12-Month Forecast'!$B$7:$B$18</c:f>
              <c:strCache>
                <c:ptCount val="0"/>
              </c:strCache>
            </c:strRef>
          </c:cat>
          <c:val>
            <c:numRef>
              <c:f>'12-Month Forecast'!$P$7:$P$18</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bar"/>
        <c:grouping val="clustered"/>
        <c:varyColors val="0"/>
        <c:ser>
          <c:idx val="0"/>
          <c:order val="0"/>
          <c:tx>
            <c:v>Monthly USD</c:v>
          </c:tx>
          <c:cat>
            <c:strRef>
              <c:f>'Economics'!$A$59:$A$63</c:f>
              <c:strCache>
                <c:ptCount val="0"/>
              </c:strCache>
            </c:strRef>
          </c:cat>
          <c:val>
            <c:numRef>
              <c:f>'Economics'!$B$59:$B$63</c:f>
              <c:numCache>
                <c:formatCode>$#,##0;[Red]($#,##0);-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barChart>
        <c:barDir val="col"/>
        <c:grouping val="clustered"/>
        <c:varyColors val="0"/>
        <c:ser>
          <c:idx val="0"/>
          <c:order val="0"/>
          <c:tx>
            <c:v>Net profit ($)</c:v>
          </c:tx>
          <c:cat>
            <c:strRef>
              <c:f>'Sensitivity'!$A$8:$A$16</c:f>
              <c:strCache>
                <c:ptCount val="0"/>
              </c:strCache>
            </c:strRef>
          </c:cat>
          <c:val>
            <c:numRef>
              <c:f>'Sensitivity'!$J$8:$J$16</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ineChart>
        <c:grouping val="standard"/>
        <c:varyColors val="0"/>
        <c:ser>
          <c:idx val="0"/>
          <c:order val="0"/>
          <c:tx>
            <c:v>Active drivers</c:v>
          </c:tx>
          <c:marker>
            <c:symbol val="none"/>
          </c:marker>
          <c:cat>
            <c:strRef>
              <c:f>'12-Month Forecast'!$B$7:$B$18</c:f>
              <c:strCache>
                <c:ptCount val="0"/>
              </c:strCache>
            </c:strRef>
          </c:cat>
          <c:val>
            <c:numRef>
              <c:f>'12-Month Forecast'!$C$7:$C$18</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68ab3ca8774525"/>
        </a:graphicData>
      </a:graphic>
    </xdr:graphicFrame>
    <xdr:clientData/>
  </xdr:twoCellAnchor>
  <xdr:twoCellAnchor>
    <xdr:from>
      <xdr:col>8</xdr:col>
      <xdr:colOff>0</xdr:colOff>
      <xdr:row>17</xdr:row>
      <xdr:rowOff>0</xdr:rowOff>
    </xdr:from>
    <xdr:to>
      <xdr:col>16</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2220ae5e48471b"/>
        </a:graphicData>
      </a:graphic>
    </xdr:graphicFrame>
    <xdr:clientData/>
  </xdr:twoCellAnchor>
  <xdr:twoCellAnchor>
    <xdr:from>
      <xdr:col>0</xdr:col>
      <xdr:colOff>0</xdr:colOff>
      <xdr:row>35</xdr:row>
      <xdr:rowOff>0</xdr:rowOff>
    </xdr:from>
    <xdr:to>
      <xdr:col>8</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86a4f4a0314636"/>
        </a:graphicData>
      </a:graphic>
    </xdr:graphicFrame>
    <xdr:clientData/>
  </xdr:twoCellAnchor>
  <xdr:twoCellAnchor>
    <xdr:from>
      <xdr:col>8</xdr:col>
      <xdr:colOff>0</xdr:colOff>
      <xdr:row>35</xdr:row>
      <xdr:rowOff>0</xdr:rowOff>
    </xdr:from>
    <xdr:to>
      <xdr:col>16</xdr:col>
      <xdr:colOff>0</xdr:colOff>
      <xdr:row>52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40c7558edb4ad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cd8b4fddf6341d3"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3" hidden="0" customWidth="1"/>
    <x:col min="3" max="3" width="13" hidden="0" customWidth="1"/>
    <x:col min="4" max="4" width="13" hidden="0" customWidth="1"/>
    <x:col min="5" max="5" width="16" hidden="0" customWidth="1"/>
    <x:col min="6" max="6" width="13" hidden="0" customWidth="1"/>
    <x:col min="7" max="7" width="13" hidden="0" customWidth="1"/>
    <x:col min="8" max="8" width="13" hidden="0" customWidth="1"/>
    <x:col min="9" max="9" width="16" hidden="0" customWidth="1"/>
    <x:col min="10" max="10" width="13" hidden="0" customWidth="1"/>
    <x:col min="11" max="11" width="13" hidden="0" customWidth="1"/>
    <x:col min="12" max="12" width="13" hidden="0" customWidth="1"/>
    <x:col min="13" max="13" width="16" hidden="0" customWidth="1"/>
    <x:col min="14" max="14" width="13" hidden="0" customWidth="1"/>
    <x:col min="15" max="15" width="13" hidden="0" customWidth="1"/>
    <x:col min="16" max="16" width="13" hidden="0" customWidth="1"/>
  </x:cols>
  <x:sheetData>
    <x:row r="1" ht="23" customHeight="1">
      <x:c r="A1" s="4" t="str">
        <x:v>RIDE-SHARE BUSINESS   /   FINANCIAL DASHBOARD</x:v>
      </x:c>
      <x:c r="B1" s="4"/>
      <x:c r="C1" s="4"/>
      <x:c r="D1" s="4"/>
      <x:c r="E1" s="4"/>
      <x:c r="F1" s="4"/>
      <x:c r="G1" s="4"/>
      <x:c r="H1" s="4"/>
      <x:c r="I1" s="4"/>
      <x:c r="J1" s="4"/>
      <x:c r="K1" s="4"/>
      <x:c r="L1" s="4"/>
      <x:c r="M1" s="4"/>
      <x:c r="N1" s="4"/>
      <x:c r="O1" s="4"/>
      <x:c r="P1" s="4"/>
    </x:row>
    <x:row r="2" ht="23" customHeight="1">
      <x:c r="A2" s="4"/>
      <x:c r="B2" s="4"/>
      <x:c r="C2" s="4"/>
      <x:c r="D2" s="4"/>
      <x:c r="E2" s="4"/>
      <x:c r="F2" s="4"/>
      <x:c r="G2" s="4"/>
      <x:c r="H2" s="4"/>
      <x:c r="I2" s="4"/>
      <x:c r="J2" s="4"/>
      <x:c r="K2" s="4"/>
      <x:c r="L2" s="4"/>
      <x:c r="M2" s="4"/>
      <x:c r="N2" s="4"/>
      <x:c r="O2" s="4"/>
      <x:c r="P2" s="4"/>
    </x:row>
    <x:row r="3" ht="27" customHeight="1">
      <x:c r="A3" s="10" t="str">
        <x:v>Editable Excel calculator • change BLUE assumption cells in Inputs • USD monthly unless noted</x:v>
      </x:c>
      <x:c r="B3" s="10"/>
      <x:c r="C3" s="10"/>
      <x:c r="D3" s="10"/>
      <x:c r="E3" s="10"/>
      <x:c r="F3" s="10"/>
      <x:c r="G3" s="10"/>
      <x:c r="H3" s="10"/>
      <x:c r="I3" s="10"/>
      <x:c r="J3" s="10"/>
      <x:c r="K3" s="10"/>
      <x:c r="L3" s="10"/>
      <x:c r="M3" s="10"/>
      <x:c r="N3" s="10"/>
      <x:c r="O3" s="10"/>
      <x:c r="P3" s="10"/>
    </x:row>
    <x:row r="4" ht="28" customHeight="1">
      <x:c r="A4" s="173" t="str">
        <x:v>BASE CASE   ·   DEFAULTS: 50 DRIVERS  |  5 RIDES/DAY  |  $20 PER FARE  |  25% COMPANY COMMISSION</x:v>
      </x:c>
      <x:c r="B4" s="173"/>
      <x:c r="C4" s="173"/>
      <x:c r="D4" s="173"/>
      <x:c r="E4" s="173"/>
      <x:c r="F4" s="173"/>
      <x:c r="G4" s="173"/>
      <x:c r="H4" s="173"/>
      <x:c r="I4" s="173"/>
      <x:c r="J4" s="173"/>
      <x:c r="K4" s="173"/>
      <x:c r="L4" s="173"/>
      <x:c r="M4" s="173"/>
      <x:c r="N4" s="173"/>
      <x:c r="O4" s="173"/>
      <x:c r="P4" s="173"/>
    </x:row>
    <x:row r="6" ht="24" customHeight="1">
      <x:c r="A6" s="212" t="str">
        <x:v>PASSENGER FARES</x:v>
      </x:c>
      <x:c r="B6" s="186"/>
      <x:c r="C6" s="186"/>
      <x:c r="D6" s="187"/>
      <x:c r="E6" s="254" t="str">
        <x:v>COMPANY COMMISSION</x:v>
      </x:c>
      <x:c r="F6" s="228"/>
      <x:c r="G6" s="228"/>
      <x:c r="H6" s="229"/>
      <x:c r="I6" s="296" t="str">
        <x:v>NET COMPANY EARNINGS</x:v>
      </x:c>
      <x:c r="J6" s="270"/>
      <x:c r="K6" s="270"/>
      <x:c r="L6" s="271"/>
      <x:c r="M6" s="338" t="str">
        <x:v>COMPLETED RIDES</x:v>
      </x:c>
      <x:c r="N6" s="312"/>
      <x:c r="O6" s="312"/>
      <x:c r="P6" s="313"/>
    </x:row>
    <x:row r="7" ht="24" customHeight="1">
      <x:c r="A7" s="216" t="n">
        <x:f>Economics!B31</x:f>
        <x:v>100000</x:v>
      </x:c>
      <x:c r="B7" s="189"/>
      <x:c r="C7" s="189"/>
      <x:c r="D7" s="190"/>
      <x:c r="E7" s="258" t="n">
        <x:f>Economics!B33</x:f>
        <x:v>25000</x:v>
      </x:c>
      <x:c r="F7" s="231"/>
      <x:c r="G7" s="231"/>
      <x:c r="H7" s="232"/>
      <x:c r="I7" s="300" t="n">
        <x:f>Economics!B50</x:f>
        <x:v>12649.717</x:v>
      </x:c>
      <x:c r="J7" s="273"/>
      <x:c r="K7" s="273"/>
      <x:c r="L7" s="274"/>
      <x:c r="M7" s="342" t="n">
        <x:f>Economics!B30</x:f>
        <x:v>5000</x:v>
      </x:c>
      <x:c r="N7" s="315"/>
      <x:c r="O7" s="315"/>
      <x:c r="P7" s="316"/>
    </x:row>
    <x:row r="8" ht="24" customHeight="1">
      <x:c r="A8" s="188"/>
      <x:c r="B8" s="189"/>
      <x:c r="C8" s="189"/>
      <x:c r="D8" s="190"/>
      <x:c r="E8" s="230"/>
      <x:c r="F8" s="231"/>
      <x:c r="G8" s="231"/>
      <x:c r="H8" s="232"/>
      <x:c r="I8" s="272"/>
      <x:c r="J8" s="273"/>
      <x:c r="K8" s="273"/>
      <x:c r="L8" s="274"/>
      <x:c r="M8" s="314"/>
      <x:c r="N8" s="315"/>
      <x:c r="O8" s="315"/>
      <x:c r="P8" s="316"/>
    </x:row>
    <x:row r="9" ht="24" customHeight="1">
      <x:c r="A9" s="191"/>
      <x:c r="B9" s="192"/>
      <x:c r="C9" s="192"/>
      <x:c r="D9" s="193"/>
      <x:c r="E9" s="233"/>
      <x:c r="F9" s="234"/>
      <x:c r="G9" s="234"/>
      <x:c r="H9" s="235"/>
      <x:c r="I9" s="275"/>
      <x:c r="J9" s="276"/>
      <x:c r="K9" s="276"/>
      <x:c r="L9" s="277"/>
      <x:c r="M9" s="317"/>
      <x:c r="N9" s="318"/>
      <x:c r="O9" s="318"/>
      <x:c r="P9" s="319"/>
    </x:row>
    <x:row r="10" ht="24" customHeight="1"/>
    <x:row r="11" ht="24" customHeight="1">
      <x:c r="A11" s="380" t="str">
        <x:v>DRIVERS' EARNINGS</x:v>
      </x:c>
      <x:c r="B11" s="354"/>
      <x:c r="C11" s="354"/>
      <x:c r="D11" s="355"/>
      <x:c r="E11" s="422" t="str">
        <x:v>PROCESSING FEES</x:v>
      </x:c>
      <x:c r="F11" s="396"/>
      <x:c r="G11" s="396"/>
      <x:c r="H11" s="397"/>
      <x:c r="I11" s="464" t="str">
        <x:v>COMPANY OPERATING COSTS</x:v>
      </x:c>
      <x:c r="J11" s="438"/>
      <x:c r="K11" s="438"/>
      <x:c r="L11" s="439"/>
      <x:c r="M11" s="506" t="str">
        <x:v>INCOME TAX ESTIMATE</x:v>
      </x:c>
      <x:c r="N11" s="480"/>
      <x:c r="O11" s="480"/>
      <x:c r="P11" s="481"/>
    </x:row>
    <x:row r="12" ht="24" customHeight="1">
      <x:c r="A12" s="384" t="n">
        <x:f>Economics!B32</x:f>
        <x:v>75000</x:v>
      </x:c>
      <x:c r="B12" s="357"/>
      <x:c r="C12" s="357"/>
      <x:c r="D12" s="358"/>
      <x:c r="E12" s="426" t="n">
        <x:f>Economics!B35</x:f>
        <x:v>3350</x:v>
      </x:c>
      <x:c r="F12" s="399"/>
      <x:c r="G12" s="399"/>
      <x:c r="H12" s="400"/>
      <x:c r="I12" s="468" t="n">
        <x:f>Economics!B45</x:f>
        <x:v>8987.7</x:v>
      </x:c>
      <x:c r="J12" s="441"/>
      <x:c r="K12" s="441"/>
      <x:c r="L12" s="442"/>
      <x:c r="M12" s="510" t="n">
        <x:f>Economics!B49</x:f>
        <x:v>3362.5829999999996</x:v>
      </x:c>
      <x:c r="N12" s="483"/>
      <x:c r="O12" s="483"/>
      <x:c r="P12" s="484"/>
    </x:row>
    <x:row r="13" ht="24" customHeight="1">
      <x:c r="A13" s="356"/>
      <x:c r="B13" s="357"/>
      <x:c r="C13" s="357"/>
      <x:c r="D13" s="358"/>
      <x:c r="E13" s="398"/>
      <x:c r="F13" s="399"/>
      <x:c r="G13" s="399"/>
      <x:c r="H13" s="400"/>
      <x:c r="I13" s="440"/>
      <x:c r="J13" s="441"/>
      <x:c r="K13" s="441"/>
      <x:c r="L13" s="442"/>
      <x:c r="M13" s="482"/>
      <x:c r="N13" s="483"/>
      <x:c r="O13" s="483"/>
      <x:c r="P13" s="484"/>
    </x:row>
    <x:row r="14" ht="24" customHeight="1">
      <x:c r="A14" s="359"/>
      <x:c r="B14" s="360"/>
      <x:c r="C14" s="360"/>
      <x:c r="D14" s="361"/>
      <x:c r="E14" s="401"/>
      <x:c r="F14" s="402"/>
      <x:c r="G14" s="402"/>
      <x:c r="H14" s="403"/>
      <x:c r="I14" s="443"/>
      <x:c r="J14" s="444"/>
      <x:c r="K14" s="444"/>
      <x:c r="L14" s="445"/>
      <x:c r="M14" s="485"/>
      <x:c r="N14" s="486"/>
      <x:c r="O14" s="486"/>
      <x:c r="P14" s="487"/>
    </x:row>
    <x:row r="16" ht="27" customHeight="1">
      <x:c r="A16" s="22" t="str">
        <x:v>LIVE VISUALS  /  RE-CALCULATE AUTOMATICALLY WHEN INPUTS CHANGE</x:v>
      </x:c>
      <x:c r="B16" s="22"/>
      <x:c r="C16" s="22"/>
      <x:c r="D16" s="22"/>
      <x:c r="E16" s="22"/>
      <x:c r="F16" s="22"/>
      <x:c r="G16" s="22"/>
      <x:c r="H16" s="22"/>
      <x:c r="I16" s="22"/>
      <x:c r="J16" s="22"/>
      <x:c r="K16" s="22"/>
      <x:c r="L16" s="22"/>
      <x:c r="M16" s="22"/>
      <x:c r="N16" s="22"/>
      <x:c r="O16" s="22"/>
      <x:c r="P16" s="22"/>
    </x:row>
    <x:row r="54">
      <x:c r="A54" s="514" t="str">
        <x:v>MODEL SCOPE  •  Assumes a C corporation and simplified income tax math. Owner dividend/personal taxes, marketplace legal classifications, financing, insurance variability and location-specific taxes are not included. The 2.6% + $0.15 MSC card rate is advertised standard pricing, not a quote for your business.</x:v>
      </x:c>
      <x:c r="B54" s="514"/>
      <x:c r="C54" s="514"/>
      <x:c r="D54" s="514"/>
      <x:c r="E54" s="514"/>
      <x:c r="F54" s="514"/>
      <x:c r="G54" s="514"/>
      <x:c r="H54" s="514"/>
      <x:c r="I54" s="514"/>
      <x:c r="J54" s="514"/>
      <x:c r="K54" s="514"/>
      <x:c r="L54" s="514"/>
      <x:c r="M54" s="514"/>
      <x:c r="N54" s="514"/>
      <x:c r="O54" s="514"/>
      <x:c r="P54" s="514"/>
    </x:row>
    <x:row r="55">
      <x:c r="A55" s="514"/>
      <x:c r="B55" s="514"/>
      <x:c r="C55" s="514"/>
      <x:c r="D55" s="514"/>
      <x:c r="E55" s="514"/>
      <x:c r="F55" s="514"/>
      <x:c r="G55" s="514"/>
      <x:c r="H55" s="514"/>
      <x:c r="I55" s="514"/>
      <x:c r="J55" s="514"/>
      <x:c r="K55" s="514"/>
      <x:c r="L55" s="514"/>
      <x:c r="M55" s="514"/>
      <x:c r="N55" s="514"/>
      <x:c r="O55" s="514"/>
      <x:c r="P55" s="514"/>
    </x:row>
  </x:sheetData>
  <x:mergeCells>
    <x:mergeCell ref="A1:P2"/>
    <x:mergeCell ref="A3:P3"/>
    <x:mergeCell ref="A4:P4"/>
    <x:mergeCell ref="A6:D6"/>
    <x:mergeCell ref="A7:D9"/>
    <x:mergeCell ref="E6:H6"/>
    <x:mergeCell ref="E7:H9"/>
    <x:mergeCell ref="I6:L6"/>
    <x:mergeCell ref="I7:L9"/>
    <x:mergeCell ref="M6:P6"/>
    <x:mergeCell ref="M7:P9"/>
    <x:mergeCell ref="A11:D11"/>
    <x:mergeCell ref="A12:D14"/>
    <x:mergeCell ref="E11:H11"/>
    <x:mergeCell ref="E12:H14"/>
    <x:mergeCell ref="I11:L11"/>
    <x:mergeCell ref="I12:L14"/>
    <x:mergeCell ref="M11:P11"/>
    <x:mergeCell ref="M12:P14"/>
    <x:mergeCell ref="A16:P16"/>
    <x:mergeCell ref="A54:P55"/>
  </x:mergeCells>
  <x:pageMargins left="0.7" right="0.7" top="0.75" bottom="0.75" header="0.3" footer="0.3"/>
  <x:drawing xmlns:r="http://schemas.openxmlformats.org/officeDocument/2006/relationships" r:id="Racd8b4fddf6341d3"/>
</x:worksheet>
</file>

<file path=xl/worksheets/sheet2.xml><?xml version="1.0" encoding="utf-8"?>
<x:worksheet xmlns:x="http://schemas.openxmlformats.org/spreadsheetml/2006/main">
  <x:sheetFormatPr defaultRowHeight="15"/>
  <x:cols>
    <x:col min="1" max="1" width="30" hidden="0" customWidth="1"/>
    <x:col min="2" max="2" width="16" hidden="0" customWidth="1"/>
    <x:col min="3" max="3" width="15" hidden="0" customWidth="1"/>
    <x:col min="4" max="4" width="23" hidden="0" customWidth="1"/>
    <x:col min="5" max="5" width="11" hidden="0" customWidth="1"/>
    <x:col min="6" max="6" width="11" hidden="0" customWidth="1"/>
    <x:col min="7" max="7" width="3" hidden="0" customWidth="1"/>
    <x:col min="8" max="8" width="55" hidden="0" customWidth="1"/>
  </x:cols>
  <x:sheetData>
    <x:row r="1" ht="23" customHeight="1">
      <x:c r="A1" s="4" t="str">
        <x:v>MODEL ASSUMPTIONS   /   EDIT THE BLUE CELLS</x:v>
      </x:c>
      <x:c r="B1" s="4"/>
      <x:c r="C1" s="4"/>
      <x:c r="D1" s="4"/>
      <x:c r="E1" s="4"/>
      <x:c r="F1" s="4"/>
      <x:c r="G1" s="4"/>
      <x:c r="H1" s="4"/>
    </x:row>
    <x:row r="2" ht="23" customHeight="1">
      <x:c r="A2" s="4"/>
      <x:c r="B2" s="4"/>
      <x:c r="C2" s="4"/>
      <x:c r="D2" s="4"/>
      <x:c r="E2" s="4"/>
      <x:c r="F2" s="4"/>
      <x:c r="G2" s="4"/>
      <x:c r="H2" s="4"/>
    </x:row>
    <x:row r="3" ht="27" customHeight="1">
      <x:c r="A3" s="10" t="str">
        <x:v>Live inputs • yellow cells are editable • the turquoise bars visualize each setting's place in its range</x:v>
      </x:c>
      <x:c r="B3" s="10"/>
      <x:c r="C3" s="10"/>
      <x:c r="D3" s="10"/>
      <x:c r="E3" s="10"/>
      <x:c r="F3" s="10"/>
      <x:c r="G3" s="10"/>
      <x:c r="H3" s="10"/>
    </x:row>
    <x:row r="5" ht="24" customHeight="1">
      <x:c r="A5" s="16" t="str">
        <x:v>INPUT / ASSUMPTION</x:v>
      </x:c>
      <x:c r="B5" s="16" t="str">
        <x:v>VALUE</x:v>
      </x:c>
      <x:c r="C5" s="16" t="str">
        <x:v>UNIT</x:v>
      </x:c>
      <x:c r="D5" s="16" t="str">
        <x:v>VISUAL SCALE</x:v>
      </x:c>
      <x:c r="E5" s="16" t="str">
        <x:v>LOW</x:v>
      </x:c>
      <x:c r="F5" s="16" t="str">
        <x:v>HIGH</x:v>
      </x:c>
      <x:c r="G5" s="16" t="str"/>
      <x:c r="H5" s="16" t="str">
        <x:v>NOTES</x:v>
      </x:c>
    </x:row>
    <x:row r="6" ht="24" customHeight="1">
      <x:c r="A6" s="22" t="str">
        <x:v>01 / DEMAND &amp; PRICING</x:v>
      </x:c>
      <x:c r="B6" s="22"/>
      <x:c r="C6" s="22"/>
      <x:c r="D6" s="22"/>
      <x:c r="E6" s="22"/>
      <x:c r="F6" s="22"/>
      <x:c r="G6" s="22"/>
      <x:c r="H6" s="22"/>
    </x:row>
    <x:row r="7" ht="24" customHeight="1">
      <x:c r="A7" s="27" t="str">
        <x:v>Active drivers</x:v>
      </x:c>
      <x:c r="B7" s="40" t="n">
        <x:v>50</x:v>
      </x:c>
      <x:c r="C7" s="42" t="str">
        <x:v>drivers</x:v>
      </x:c>
      <x:c r="D7" s="48" t="n">
        <x:f>IFERROR(MAX(0,MIN(1,(B7-E7)/(F7-E7))),0)</x:f>
        <x:v>0.01</x:v>
      </x:c>
      <x:c r="E7" s="46" t="n">
        <x:v>0</x:v>
      </x:c>
      <x:c r="F7" s="46" t="n">
        <x:v>5000</x:v>
      </x:c>
      <x:c r="H7" s="42" t="str">
        <x:v>Number of drivers earning fares each month</x:v>
      </x:c>
    </x:row>
    <x:row r="8" ht="24" customHeight="1">
      <x:c r="A8" s="27" t="str">
        <x:v>Rides per driver per active day</x:v>
      </x:c>
      <x:c r="B8" s="50" t="n">
        <x:v>5</x:v>
      </x:c>
      <x:c r="C8" s="42" t="str">
        <x:v>rides/day</x:v>
      </x:c>
      <x:c r="D8" s="48" t="n">
        <x:f>IFERROR(MAX(0,MIN(1,(B8-E8)/(F8-E8))),0)</x:f>
        <x:v>0.125</x:v>
      </x:c>
      <x:c r="E8" s="52" t="n">
        <x:v>0</x:v>
      </x:c>
      <x:c r="F8" s="52" t="n">
        <x:v>40</x:v>
      </x:c>
      <x:c r="H8" s="42" t="str">
        <x:v>Averaged across active drivers</x:v>
      </x:c>
    </x:row>
    <x:row r="9" ht="24" customHeight="1">
      <x:c r="A9" s="27" t="str">
        <x:v>Active driving days per month</x:v>
      </x:c>
      <x:c r="B9" s="40" t="n">
        <x:v>20</x:v>
      </x:c>
      <x:c r="C9" s="42" t="str">
        <x:v>days</x:v>
      </x:c>
      <x:c r="D9" s="48" t="n">
        <x:f>IFERROR(MAX(0,MIN(1,(B9-E9)/(F9-E9))),0)</x:f>
        <x:v>0.6333333333333333</x:v>
      </x:c>
      <x:c r="E9" s="46" t="n">
        <x:v>1</x:v>
      </x:c>
      <x:c r="F9" s="46" t="n">
        <x:v>31</x:v>
      </x:c>
      <x:c r="H9" s="42" t="str">
        <x:v>Average working days per driver</x:v>
      </x:c>
    </x:row>
    <x:row r="10" ht="24" customHeight="1">
      <x:c r="A10" s="27" t="str">
        <x:v>Average passenger fare</x:v>
      </x:c>
      <x:c r="B10" s="54" t="n">
        <x:v>20</x:v>
      </x:c>
      <x:c r="C10" s="42" t="str">
        <x:v>$/trip</x:v>
      </x:c>
      <x:c r="D10" s="48" t="n">
        <x:f>IFERROR(MAX(0,MIN(1,(B10-E10)/(F10-E10))),0)</x:f>
        <x:v>0.09547738693467336</x:v>
      </x:c>
      <x:c r="E10" s="56" t="n">
        <x:v>1</x:v>
      </x:c>
      <x:c r="F10" s="56" t="n">
        <x:v>200</x:v>
      </x:c>
      <x:c r="H10" s="42" t="str">
        <x:v>All-in passenger fare before service fees</x:v>
      </x:c>
    </x:row>
    <x:row r="11" ht="24" customHeight="1">
      <x:c r="A11" s="27" t="str">
        <x:v>Platform commission</x:v>
      </x:c>
      <x:c r="B11" s="58" t="n">
        <x:v>0.25</x:v>
      </x:c>
      <x:c r="C11" s="42" t="str">
        <x:v>% fares</x:v>
      </x:c>
      <x:c r="D11" s="48" t="n">
        <x:f>IFERROR(MAX(0,MIN(1,(B11-E11)/(F11-E11))),0)</x:f>
        <x:v>0.5</x:v>
      </x:c>
      <x:c r="E11" s="60" t="n">
        <x:v>0</x:v>
      </x:c>
      <x:c r="F11" s="60" t="n">
        <x:v>0.5</x:v>
      </x:c>
      <x:c r="H11" s="42" t="str">
        <x:v>Your share of each completed ride</x:v>
      </x:c>
    </x:row>
    <x:row r="12" ht="24" customHeight="1">
      <x:c r="A12" s="27" t="str">
        <x:v>Rides paid by card</x:v>
      </x:c>
      <x:c r="B12" s="58" t="n">
        <x:v>1</x:v>
      </x:c>
      <x:c r="C12" s="42" t="str">
        <x:v>% rides</x:v>
      </x:c>
      <x:c r="D12" s="48" t="n">
        <x:f>IFERROR(MAX(0,MIN(1,(B12-E12)/(F12-E12))),0)</x:f>
        <x:v>1</x:v>
      </x:c>
      <x:c r="E12" s="60" t="n">
        <x:v>0</x:v>
      </x:c>
      <x:c r="F12" s="60" t="n">
        <x:v>1</x:v>
      </x:c>
      <x:c r="H12" s="42" t="str">
        <x:v>Assumes non-card rides avoid card processing fees</x:v>
      </x:c>
    </x:row>
    <x:row r="13" ht="24" customHeight="1">
      <x:c r="A13" s="22" t="str">
        <x:v>02 / CARD PROCESSING &amp; RIDE COSTS</x:v>
      </x:c>
      <x:c r="B13" s="22"/>
      <x:c r="C13" s="22"/>
      <x:c r="D13" s="22"/>
      <x:c r="E13" s="22"/>
      <x:c r="F13" s="22"/>
      <x:c r="G13" s="22"/>
      <x:c r="H13" s="22"/>
    </x:row>
    <x:row r="14" ht="24" customHeight="1">
      <x:c r="A14" s="27" t="str">
        <x:v>Card processor % fee</x:v>
      </x:c>
      <x:c r="B14" s="58" t="n">
        <x:v>0.026</x:v>
      </x:c>
      <x:c r="C14" s="42" t="str">
        <x:v>% card fares</x:v>
      </x:c>
      <x:c r="D14" s="48" t="n">
        <x:f>IFERROR(MAX(0,MIN(1,(B14-E14)/(F14-E14))),0)</x:f>
        <x:v>0.43333333333333335</x:v>
      </x:c>
      <x:c r="E14" s="60" t="n">
        <x:v>0</x:v>
      </x:c>
      <x:c r="F14" s="60" t="n">
        <x:v>0.06</x:v>
      </x:c>
      <x:c r="H14" s="42" t="str">
        <x:v>MSC deck standard offer: 2.6%; custom rates may apply</x:v>
      </x:c>
    </x:row>
    <x:row r="15" ht="24" customHeight="1">
      <x:c r="A15" s="27" t="str">
        <x:v>Card processor flat fee</x:v>
      </x:c>
      <x:c r="B15" s="54" t="n">
        <x:v>0.15</x:v>
      </x:c>
      <x:c r="C15" s="42" t="str">
        <x:v>$/card ride</x:v>
      </x:c>
      <x:c r="D15" s="48" t="n">
        <x:f>IFERROR(MAX(0,MIN(1,(B15-E15)/(F15-E15))),0)</x:f>
        <x:v>0.15</x:v>
      </x:c>
      <x:c r="E15" s="56" t="n">
        <x:v>0</x:v>
      </x:c>
      <x:c r="F15" s="56" t="n">
        <x:v>1</x:v>
      </x:c>
      <x:c r="H15" s="42" t="str">
        <x:v>MSC deck standard offer: $0.15 per transaction</x:v>
      </x:c>
    </x:row>
    <x:row r="16" ht="24" customHeight="1">
      <x:c r="A16" s="27" t="str">
        <x:v>Driver payout transfer fee</x:v>
      </x:c>
      <x:c r="B16" s="54" t="n">
        <x:v>0</x:v>
      </x:c>
      <x:c r="C16" s="42" t="str">
        <x:v>$/ride</x:v>
      </x:c>
      <x:c r="D16" s="48" t="n">
        <x:f>IFERROR(MAX(0,MIN(1,(B16-E16)/(F16-E16))),0)</x:f>
        <x:v>0</x:v>
      </x:c>
      <x:c r="E16" s="56" t="n">
        <x:v>0</x:v>
      </x:c>
      <x:c r="F16" s="56" t="n">
        <x:v>2</x:v>
      </x:c>
      <x:c r="H16" s="42" t="str">
        <x:v>Edit after confirming marketplace payout fees</x:v>
      </x:c>
    </x:row>
    <x:row r="17" ht="24" customHeight="1">
      <x:c r="A17" s="27" t="str">
        <x:v>Local per-trip fee borne by platform</x:v>
      </x:c>
      <x:c r="B17" s="54" t="n">
        <x:v>0</x:v>
      </x:c>
      <x:c r="C17" s="42" t="str">
        <x:v>$/ride</x:v>
      </x:c>
      <x:c r="D17" s="48" t="n">
        <x:f>IFERROR(MAX(0,MIN(1,(B17-E17)/(F17-E17))),0)</x:f>
        <x:v>0</x:v>
      </x:c>
      <x:c r="E17" s="56" t="n">
        <x:v>0</x:v>
      </x:c>
      <x:c r="F17" s="56" t="n">
        <x:v>5</x:v>
      </x:c>
      <x:c r="H17" s="42" t="str">
        <x:v>City / airport / local assessment if company pays</x:v>
      </x:c>
    </x:row>
    <x:row r="18" ht="24" customHeight="1">
      <x:c r="A18" s="27" t="str">
        <x:v>Other variable cost</x:v>
      </x:c>
      <x:c r="B18" s="54" t="n">
        <x:v>0</x:v>
      </x:c>
      <x:c r="C18" s="42" t="str">
        <x:v>$/ride</x:v>
      </x:c>
      <x:c r="D18" s="48" t="n">
        <x:f>IFERROR(MAX(0,MIN(1,(B18-E18)/(F18-E18))),0)</x:f>
        <x:v>0</x:v>
      </x:c>
      <x:c r="E18" s="56" t="n">
        <x:v>0</x:v>
      </x:c>
      <x:c r="F18" s="56" t="n">
        <x:v>5</x:v>
      </x:c>
      <x:c r="H18" s="42" t="str">
        <x:v>Variable support, incentive or trip servicing cost</x:v>
      </x:c>
    </x:row>
    <x:row r="19" ht="24" customHeight="1">
      <x:c r="A19" s="22" t="str">
        <x:v>03 / FIXED MONTHLY OPERATING EXPENSES</x:v>
      </x:c>
      <x:c r="B19" s="22"/>
      <x:c r="C19" s="22"/>
      <x:c r="D19" s="22"/>
      <x:c r="E19" s="22"/>
      <x:c r="F19" s="22"/>
      <x:c r="G19" s="22"/>
      <x:c r="H19" s="22"/>
    </x:row>
    <x:row r="20" ht="24" customHeight="1">
      <x:c r="A20" s="27" t="str">
        <x:v>Software, hosting &amp; operations</x:v>
      </x:c>
      <x:c r="B20" s="62" t="n">
        <x:v>1200</x:v>
      </x:c>
      <x:c r="C20" s="42" t="str">
        <x:v>$/month</x:v>
      </x:c>
      <x:c r="D20" s="48" t="n">
        <x:f>IFERROR(MAX(0,MIN(1,(B20-E20)/(F20-E20))),0)</x:f>
        <x:v>0.04</x:v>
      </x:c>
      <x:c r="E20" s="64" t="n">
        <x:v>0</x:v>
      </x:c>
      <x:c r="F20" s="64" t="n">
        <x:v>30000</x:v>
      </x:c>
      <x:c r="H20" s="42" t="str">
        <x:v>Cloud servers, mapping, routing, app maintenance</x:v>
      </x:c>
    </x:row>
    <x:row r="21" ht="24" customHeight="1">
      <x:c r="A21" s="27" t="str">
        <x:v>Employee payroll (non-driver)</x:v>
      </x:c>
      <x:c r="B21" s="62" t="n">
        <x:v>1800</x:v>
      </x:c>
      <x:c r="C21" s="42" t="str">
        <x:v>$/month</x:v>
      </x:c>
      <x:c r="D21" s="48" t="n">
        <x:f>IFERROR(MAX(0,MIN(1,(B21-E21)/(F21-E21))),0)</x:f>
        <x:v>0.036</x:v>
      </x:c>
      <x:c r="E21" s="64" t="n">
        <x:v>0</x:v>
      </x:c>
      <x:c r="F21" s="64" t="n">
        <x:v>50000</x:v>
      </x:c>
      <x:c r="H21" s="42" t="str">
        <x:v>Staff wage expense before employer payroll tax</x:v>
      </x:c>
    </x:row>
    <x:row r="22" ht="24" customHeight="1">
      <x:c r="A22" s="27" t="str">
        <x:v>Marketing &amp; promotions</x:v>
      </x:c>
      <x:c r="B22" s="62" t="n">
        <x:v>1500</x:v>
      </x:c>
      <x:c r="C22" s="42" t="str">
        <x:v>$/month</x:v>
      </x:c>
      <x:c r="D22" s="48" t="n">
        <x:f>IFERROR(MAX(0,MIN(1,(B22-E22)/(F22-E22))),0)</x:f>
        <x:v>0.03</x:v>
      </x:c>
      <x:c r="E22" s="64" t="n">
        <x:v>0</x:v>
      </x:c>
      <x:c r="F22" s="64" t="n">
        <x:v>50000</x:v>
      </x:c>
      <x:c r="H22" s="42" t="str">
        <x:v>Monthly acquisition and promotions spending</x:v>
      </x:c>
    </x:row>
    <x:row r="23" ht="24" customHeight="1">
      <x:c r="A23" s="27" t="str">
        <x:v>Insurance &amp; compliance</x:v>
      </x:c>
      <x:c r="B23" s="62" t="n">
        <x:v>700</x:v>
      </x:c>
      <x:c r="C23" s="42" t="str">
        <x:v>$/month</x:v>
      </x:c>
      <x:c r="D23" s="48" t="n">
        <x:f>IFERROR(MAX(0,MIN(1,(B23-E23)/(F23-E23))),0)</x:f>
        <x:v>0.014</x:v>
      </x:c>
      <x:c r="E23" s="64" t="n">
        <x:v>0</x:v>
      </x:c>
      <x:c r="F23" s="64" t="n">
        <x:v>50000</x:v>
      </x:c>
      <x:c r="H23" s="42" t="str">
        <x:v>Business insurance and regulatory costs</x:v>
      </x:c>
    </x:row>
    <x:row r="24" ht="24" customHeight="1">
      <x:c r="A24" s="27" t="str">
        <x:v>Other fixed monthly expenses</x:v>
      </x:c>
      <x:c r="B24" s="62" t="n">
        <x:v>300</x:v>
      </x:c>
      <x:c r="C24" s="42" t="str">
        <x:v>$/month</x:v>
      </x:c>
      <x:c r="D24" s="48" t="n">
        <x:f>IFERROR(MAX(0,MIN(1,(B24-E24)/(F24-E24))),0)</x:f>
        <x:v>0.006</x:v>
      </x:c>
      <x:c r="E24" s="64" t="n">
        <x:v>0</x:v>
      </x:c>
      <x:c r="F24" s="64" t="n">
        <x:v>50000</x:v>
      </x:c>
      <x:c r="H24" s="42" t="str">
        <x:v>Accounting, admin, software subscriptions, etc.</x:v>
      </x:c>
    </x:row>
    <x:row r="25" ht="24" customHeight="1">
      <x:c r="A25" s="27" t="str">
        <x:v>Employer payroll tax assumption</x:v>
      </x:c>
      <x:c r="B25" s="58" t="n">
        <x:v>0.0765</x:v>
      </x:c>
      <x:c r="C25" s="42" t="str">
        <x:v>% wages</x:v>
      </x:c>
      <x:c r="D25" s="48" t="n">
        <x:f>IFERROR(MAX(0,MIN(1,(B25-E25)/(F25-E25))),0)</x:f>
        <x:v>0.38249999999999995</x:v>
      </x:c>
      <x:c r="E25" s="60" t="n">
        <x:v>0</x:v>
      </x:c>
      <x:c r="F25" s="60" t="n">
        <x:v>0.2</x:v>
      </x:c>
      <x:c r="H25" s="42" t="str">
        <x:v>Illustrative FICA on non-driver employees; limits/exceptions apply</x:v>
      </x:c>
    </x:row>
    <x:row r="27" ht="24" customHeight="1">
      <x:c r="A27" s="22" t="str">
        <x:v>04 / TAXES &amp; GROWTH</x:v>
      </x:c>
      <x:c r="B27" s="22"/>
      <x:c r="C27" s="22"/>
      <x:c r="D27" s="22"/>
      <x:c r="E27" s="22"/>
      <x:c r="F27" s="22"/>
      <x:c r="G27" s="22"/>
      <x:c r="H27" s="22"/>
    </x:row>
    <x:row r="28" ht="24" customHeight="1">
      <x:c r="A28" s="27" t="str">
        <x:v>Federal C-corp income tax rate</x:v>
      </x:c>
      <x:c r="B28" s="58" t="n">
        <x:v>0.21</x:v>
      </x:c>
      <x:c r="C28" s="42" t="str">
        <x:v>% pretax</x:v>
      </x:c>
      <x:c r="D28" s="48" t="n">
        <x:f>IFERROR(MAX(0,MIN(1,(B28-E28)/(F28-E28))),0)</x:f>
        <x:v>0.5249999999999999</x:v>
      </x:c>
      <x:c r="E28" s="60" t="n">
        <x:v>0</x:v>
      </x:c>
      <x:c r="F28" s="60" t="n">
        <x:v>0.4</x:v>
      </x:c>
      <x:c r="H28" s="42" t="str">
        <x:v>21% illustrative federal C-corp rate; not an LLC owner rate</x:v>
      </x:c>
    </x:row>
    <x:row r="29" ht="24" customHeight="1">
      <x:c r="A29" s="27" t="str">
        <x:v>State corporate income tax assumption</x:v>
      </x:c>
      <x:c r="B29" s="58" t="n">
        <x:v>0</x:v>
      </x:c>
      <x:c r="C29" s="42" t="str">
        <x:v>% pretax</x:v>
      </x:c>
      <x:c r="D29" s="48" t="n">
        <x:f>IFERROR(MAX(0,MIN(1,(B29-E29)/(F29-E29))),0)</x:f>
        <x:v>0</x:v>
      </x:c>
      <x:c r="E29" s="60" t="n">
        <x:v>0</x:v>
      </x:c>
      <x:c r="F29" s="60" t="n">
        <x:v>0.15</x:v>
      </x:c>
      <x:c r="H29" s="42" t="str">
        <x:v>Illustrative, varies by state and company structure</x:v>
      </x:c>
    </x:row>
    <x:row r="30" ht="24" customHeight="1">
      <x:c r="A30" s="27" t="str">
        <x:v>Monthly growth in active drivers</x:v>
      </x:c>
      <x:c r="B30" s="58" t="n">
        <x:v>0</x:v>
      </x:c>
      <x:c r="C30" s="42" t="str">
        <x:v>% / month</x:v>
      </x:c>
      <x:c r="D30" s="48" t="n">
        <x:f>IFERROR(MAX(0,MIN(1,(B30-E30)/(F30-E30))),0)</x:f>
        <x:v>0.28571428571428575</x:v>
      </x:c>
      <x:c r="E30" s="60" t="n">
        <x:v>-0.1</x:v>
      </x:c>
      <x:c r="F30" s="60" t="n">
        <x:v>0.25</x:v>
      </x:c>
      <x:c r="H30" s="42" t="str">
        <x:v>Applied in 12-month projection; month 1 = base</x:v>
      </x:c>
    </x:row>
    <x:row r="31" ht="24" customHeight="1">
      <x:c r="A31" s="27" t="str">
        <x:v>Monthly growth in average fare</x:v>
      </x:c>
      <x:c r="B31" s="58" t="n">
        <x:v>0</x:v>
      </x:c>
      <x:c r="C31" s="42" t="str">
        <x:v>% / month</x:v>
      </x:c>
      <x:c r="D31" s="48" t="n">
        <x:f>IFERROR(MAX(0,MIN(1,(B31-E31)/(F31-E31))),0)</x:f>
        <x:v>0.4</x:v>
      </x:c>
      <x:c r="E31" s="60" t="n">
        <x:v>-0.1</x:v>
      </x:c>
      <x:c r="F31" s="60" t="n">
        <x:v>0.15</x:v>
      </x:c>
      <x:c r="H31" s="42" t="str">
        <x:v>Applied in 12-month projection; month 1 = base</x:v>
      </x:c>
    </x:row>
    <x:row r="33" ht="26" customHeight="1">
      <x:c r="A33" s="67" t="str">
        <x:v>NOTE  •  These are scenario assumptions, not a tax estimate or verified MSC merchant pricing. Change yellow cells and all sheets update.</x:v>
      </x:c>
      <x:c r="B33" s="67"/>
      <x:c r="C33" s="67"/>
      <x:c r="D33" s="67"/>
      <x:c r="E33" s="67"/>
      <x:c r="F33" s="67"/>
      <x:c r="G33" s="67"/>
      <x:c r="H33" s="67"/>
    </x:row>
  </x:sheetData>
  <x:mergeCells>
    <x:mergeCell ref="A1:H2"/>
    <x:mergeCell ref="A3:H3"/>
    <x:mergeCell ref="A6:H6"/>
    <x:mergeCell ref="A13:H13"/>
    <x:mergeCell ref="A19:H19"/>
    <x:mergeCell ref="A27:H27"/>
    <x:mergeCell ref="A33:H33"/>
  </x:mergeCells>
  <x:conditionalFormatting sqref="D7:D7">
    <x:cfRule type="dataBar" priority="1">
      <x:dataBar>
        <x:cfvo type="min"/>
        <x:cfvo type="max"/>
        <x:color rgb="FF0B9B8B"/>
      </x:dataBar>
      <x:extLst>
        <x:ext xmlns:x14="http://schemas.microsoft.com/office/spreadsheetml/2009/9/main" uri="{B025F937-C7B1-47D3-B67F-A62EFF666E3E}">
          <x14:id>{242D913F-F254-D5D5-3482-AA64BF9FEE1F}</x14:id>
        </x:ext>
      </x:extLst>
    </x:cfRule>
  </x:conditionalFormatting>
  <x:conditionalFormatting sqref="D8:D8">
    <x:cfRule type="dataBar" priority="2">
      <x:dataBar>
        <x:cfvo type="min"/>
        <x:cfvo type="max"/>
        <x:color rgb="FF0B9B8B"/>
      </x:dataBar>
      <x:extLst>
        <x:ext xmlns:x14="http://schemas.microsoft.com/office/spreadsheetml/2009/9/main" uri="{B025F937-C7B1-47D3-B67F-A62EFF666E3E}">
          <x14:id>{BC462B1D-EC6D-9856-C3C2-D78DD2B112B3}</x14:id>
        </x:ext>
      </x:extLst>
    </x:cfRule>
  </x:conditionalFormatting>
  <x:conditionalFormatting sqref="D9:D9">
    <x:cfRule type="dataBar" priority="3">
      <x:dataBar>
        <x:cfvo type="min"/>
        <x:cfvo type="max"/>
        <x:color rgb="FF0B9B8B"/>
      </x:dataBar>
      <x:extLst>
        <x:ext xmlns:x14="http://schemas.microsoft.com/office/spreadsheetml/2009/9/main" uri="{B025F937-C7B1-47D3-B67F-A62EFF666E3E}">
          <x14:id>{05F28F76-8FCF-3AB3-3343-F0479D1506CE}</x14:id>
        </x:ext>
      </x:extLst>
    </x:cfRule>
  </x:conditionalFormatting>
  <x:conditionalFormatting sqref="D10:D10">
    <x:cfRule type="dataBar" priority="4">
      <x:dataBar>
        <x:cfvo type="min"/>
        <x:cfvo type="max"/>
        <x:color rgb="FF0B9B8B"/>
      </x:dataBar>
      <x:extLst>
        <x:ext xmlns:x14="http://schemas.microsoft.com/office/spreadsheetml/2009/9/main" uri="{B025F937-C7B1-47D3-B67F-A62EFF666E3E}">
          <x14:id>{124D4CF8-08FD-B01D-47B8-4CD1000A49C7}</x14:id>
        </x:ext>
      </x:extLst>
    </x:cfRule>
  </x:conditionalFormatting>
  <x:conditionalFormatting sqref="D11:D11">
    <x:cfRule type="dataBar" priority="5">
      <x:dataBar>
        <x:cfvo type="min"/>
        <x:cfvo type="max"/>
        <x:color rgb="FF0B9B8B"/>
      </x:dataBar>
      <x:extLst>
        <x:ext xmlns:x14="http://schemas.microsoft.com/office/spreadsheetml/2009/9/main" uri="{B025F937-C7B1-47D3-B67F-A62EFF666E3E}">
          <x14:id>{5F358C87-218D-1A78-EEDA-0F4128801350}</x14:id>
        </x:ext>
      </x:extLst>
    </x:cfRule>
  </x:conditionalFormatting>
  <x:conditionalFormatting sqref="D12:D12">
    <x:cfRule type="dataBar" priority="6">
      <x:dataBar>
        <x:cfvo type="min"/>
        <x:cfvo type="max"/>
        <x:color rgb="FF0B9B8B"/>
      </x:dataBar>
      <x:extLst>
        <x:ext xmlns:x14="http://schemas.microsoft.com/office/spreadsheetml/2009/9/main" uri="{B025F937-C7B1-47D3-B67F-A62EFF666E3E}">
          <x14:id>{EF22CF7C-1CCE-2D53-1121-A6D12EADA075}</x14:id>
        </x:ext>
      </x:extLst>
    </x:cfRule>
  </x:conditionalFormatting>
  <x:conditionalFormatting sqref="D14:D14">
    <x:cfRule type="dataBar" priority="7">
      <x:dataBar>
        <x:cfvo type="min"/>
        <x:cfvo type="max"/>
        <x:color rgb="FF0B9B8B"/>
      </x:dataBar>
      <x:extLst>
        <x:ext xmlns:x14="http://schemas.microsoft.com/office/spreadsheetml/2009/9/main" uri="{B025F937-C7B1-47D3-B67F-A62EFF666E3E}">
          <x14:id>{FC40AA03-B9CE-E452-286F-1294A19F1E3D}</x14:id>
        </x:ext>
      </x:extLst>
    </x:cfRule>
  </x:conditionalFormatting>
  <x:conditionalFormatting sqref="D15:D15">
    <x:cfRule type="dataBar" priority="8">
      <x:dataBar>
        <x:cfvo type="min"/>
        <x:cfvo type="max"/>
        <x:color rgb="FF0B9B8B"/>
      </x:dataBar>
      <x:extLst>
        <x:ext xmlns:x14="http://schemas.microsoft.com/office/spreadsheetml/2009/9/main" uri="{B025F937-C7B1-47D3-B67F-A62EFF666E3E}">
          <x14:id>{63517117-CA3D-B747-5772-2C99D94C70EE}</x14:id>
        </x:ext>
      </x:extLst>
    </x:cfRule>
  </x:conditionalFormatting>
  <x:conditionalFormatting sqref="D16:D16">
    <x:cfRule type="dataBar" priority="9">
      <x:dataBar>
        <x:cfvo type="min"/>
        <x:cfvo type="max"/>
        <x:color rgb="FF0B9B8B"/>
      </x:dataBar>
      <x:extLst>
        <x:ext xmlns:x14="http://schemas.microsoft.com/office/spreadsheetml/2009/9/main" uri="{B025F937-C7B1-47D3-B67F-A62EFF666E3E}">
          <x14:id>{9D5995F4-250C-F57E-4E5D-4A6C74573715}</x14:id>
        </x:ext>
      </x:extLst>
    </x:cfRule>
  </x:conditionalFormatting>
  <x:conditionalFormatting sqref="D17:D17">
    <x:cfRule type="dataBar" priority="10">
      <x:dataBar>
        <x:cfvo type="min"/>
        <x:cfvo type="max"/>
        <x:color rgb="FF0B9B8B"/>
      </x:dataBar>
      <x:extLst>
        <x:ext xmlns:x14="http://schemas.microsoft.com/office/spreadsheetml/2009/9/main" uri="{B025F937-C7B1-47D3-B67F-A62EFF666E3E}">
          <x14:id>{FD0EC8CA-E660-1EB4-97CA-D3620020D2B1}</x14:id>
        </x:ext>
      </x:extLst>
    </x:cfRule>
  </x:conditionalFormatting>
  <x:conditionalFormatting sqref="D18:D18">
    <x:cfRule type="dataBar" priority="11">
      <x:dataBar>
        <x:cfvo type="min"/>
        <x:cfvo type="max"/>
        <x:color rgb="FF0B9B8B"/>
      </x:dataBar>
      <x:extLst>
        <x:ext xmlns:x14="http://schemas.microsoft.com/office/spreadsheetml/2009/9/main" uri="{B025F937-C7B1-47D3-B67F-A62EFF666E3E}">
          <x14:id>{EC50BB02-FC23-EA82-9E86-FD7E692916C3}</x14:id>
        </x:ext>
      </x:extLst>
    </x:cfRule>
  </x:conditionalFormatting>
  <x:conditionalFormatting sqref="D20:D20">
    <x:cfRule type="dataBar" priority="12">
      <x:dataBar>
        <x:cfvo type="min"/>
        <x:cfvo type="max"/>
        <x:color rgb="FF0B9B8B"/>
      </x:dataBar>
      <x:extLst>
        <x:ext xmlns:x14="http://schemas.microsoft.com/office/spreadsheetml/2009/9/main" uri="{B025F937-C7B1-47D3-B67F-A62EFF666E3E}">
          <x14:id>{C0F30EC6-693A-103D-3478-2EFDD24690B4}</x14:id>
        </x:ext>
      </x:extLst>
    </x:cfRule>
  </x:conditionalFormatting>
  <x:conditionalFormatting sqref="D21:D21">
    <x:cfRule type="dataBar" priority="13">
      <x:dataBar>
        <x:cfvo type="min"/>
        <x:cfvo type="max"/>
        <x:color rgb="FF0B9B8B"/>
      </x:dataBar>
      <x:extLst>
        <x:ext xmlns:x14="http://schemas.microsoft.com/office/spreadsheetml/2009/9/main" uri="{B025F937-C7B1-47D3-B67F-A62EFF666E3E}">
          <x14:id>{2801368C-BC7D-5294-3E87-E05659130949}</x14:id>
        </x:ext>
      </x:extLst>
    </x:cfRule>
  </x:conditionalFormatting>
  <x:conditionalFormatting sqref="D22:D22">
    <x:cfRule type="dataBar" priority="14">
      <x:dataBar>
        <x:cfvo type="min"/>
        <x:cfvo type="max"/>
        <x:color rgb="FF0B9B8B"/>
      </x:dataBar>
      <x:extLst>
        <x:ext xmlns:x14="http://schemas.microsoft.com/office/spreadsheetml/2009/9/main" uri="{B025F937-C7B1-47D3-B67F-A62EFF666E3E}">
          <x14:id>{B076B5ED-7AA4-CB62-3397-A3EF33EE02C6}</x14:id>
        </x:ext>
      </x:extLst>
    </x:cfRule>
  </x:conditionalFormatting>
  <x:conditionalFormatting sqref="D23:D23">
    <x:cfRule type="dataBar" priority="15">
      <x:dataBar>
        <x:cfvo type="min"/>
        <x:cfvo type="max"/>
        <x:color rgb="FF0B9B8B"/>
      </x:dataBar>
      <x:extLst>
        <x:ext xmlns:x14="http://schemas.microsoft.com/office/spreadsheetml/2009/9/main" uri="{B025F937-C7B1-47D3-B67F-A62EFF666E3E}">
          <x14:id>{3017D5A3-A67C-D3B8-180D-56C01727A4DF}</x14:id>
        </x:ext>
      </x:extLst>
    </x:cfRule>
  </x:conditionalFormatting>
  <x:conditionalFormatting sqref="D24:D24">
    <x:cfRule type="dataBar" priority="16">
      <x:dataBar>
        <x:cfvo type="min"/>
        <x:cfvo type="max"/>
        <x:color rgb="FF0B9B8B"/>
      </x:dataBar>
      <x:extLst>
        <x:ext xmlns:x14="http://schemas.microsoft.com/office/spreadsheetml/2009/9/main" uri="{B025F937-C7B1-47D3-B67F-A62EFF666E3E}">
          <x14:id>{FE49F8E2-115F-E95E-E842-C9A6F42CEF9A}</x14:id>
        </x:ext>
      </x:extLst>
    </x:cfRule>
  </x:conditionalFormatting>
  <x:conditionalFormatting sqref="D25:D25">
    <x:cfRule type="dataBar" priority="17">
      <x:dataBar>
        <x:cfvo type="min"/>
        <x:cfvo type="max"/>
        <x:color rgb="FF0B9B8B"/>
      </x:dataBar>
      <x:extLst>
        <x:ext xmlns:x14="http://schemas.microsoft.com/office/spreadsheetml/2009/9/main" uri="{B025F937-C7B1-47D3-B67F-A62EFF666E3E}">
          <x14:id>{AE0DF03E-7EC3-DE24-E0E1-278440C052C9}</x14:id>
        </x:ext>
      </x:extLst>
    </x:cfRule>
  </x:conditionalFormatting>
  <x:conditionalFormatting sqref="D28:D28">
    <x:cfRule type="dataBar" priority="18">
      <x:dataBar>
        <x:cfvo type="min"/>
        <x:cfvo type="max"/>
        <x:color rgb="FF0B9B8B"/>
      </x:dataBar>
      <x:extLst>
        <x:ext xmlns:x14="http://schemas.microsoft.com/office/spreadsheetml/2009/9/main" uri="{B025F937-C7B1-47D3-B67F-A62EFF666E3E}">
          <x14:id>{5FAD01D2-A978-CF97-1824-A4FB1B05C99D}</x14:id>
        </x:ext>
      </x:extLst>
    </x:cfRule>
  </x:conditionalFormatting>
  <x:conditionalFormatting sqref="D29:D29">
    <x:cfRule type="dataBar" priority="19">
      <x:dataBar>
        <x:cfvo type="min"/>
        <x:cfvo type="max"/>
        <x:color rgb="FF0B9B8B"/>
      </x:dataBar>
      <x:extLst>
        <x:ext xmlns:x14="http://schemas.microsoft.com/office/spreadsheetml/2009/9/main" uri="{B025F937-C7B1-47D3-B67F-A62EFF666E3E}">
          <x14:id>{88A0BD83-8E06-23C1-0B4A-9A05E8BB82D3}</x14:id>
        </x:ext>
      </x:extLst>
    </x:cfRule>
  </x:conditionalFormatting>
  <x:conditionalFormatting sqref="D30:D30">
    <x:cfRule type="dataBar" priority="20">
      <x:dataBar>
        <x:cfvo type="min"/>
        <x:cfvo type="max"/>
        <x:color rgb="FF0B9B8B"/>
      </x:dataBar>
      <x:extLst>
        <x:ext xmlns:x14="http://schemas.microsoft.com/office/spreadsheetml/2009/9/main" uri="{B025F937-C7B1-47D3-B67F-A62EFF666E3E}">
          <x14:id>{E63A8F9B-A98E-B5F8-AD4F-BA8AD9F1DC26}</x14:id>
        </x:ext>
      </x:extLst>
    </x:cfRule>
  </x:conditionalFormatting>
  <x:conditionalFormatting sqref="D31:D31">
    <x:cfRule type="dataBar" priority="21">
      <x:dataBar>
        <x:cfvo type="min"/>
        <x:cfvo type="max"/>
        <x:color rgb="FF0B9B8B"/>
      </x:dataBar>
      <x:extLst>
        <x:ext xmlns:x14="http://schemas.microsoft.com/office/spreadsheetml/2009/9/main" uri="{B025F937-C7B1-47D3-B67F-A62EFF666E3E}">
          <x14:id>{596416BE-F851-925D-092B-65239E5370FF}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42D913F-F254-D5D5-3482-AA64BF9FEE1F}">
            <x14:dataBar gradient="1">
              <x14:cfvo type="min"/>
              <x14:cfvo type="max"/>
              <x14:fillColor rgb="FF0B9B8B"/>
            </x14:dataBar>
          </x14:cfRule>
          <xm:sqref>D7:D7</xm:sqref>
        </x14:conditionalFormatting>
        <x14:conditionalFormatting>
          <x14:cfRule type="dataBar" priority="2" id="{BC462B1D-EC6D-9856-C3C2-D78DD2B112B3}">
            <x14:dataBar gradient="1">
              <x14:cfvo type="min"/>
              <x14:cfvo type="max"/>
              <x14:fillColor rgb="FF0B9B8B"/>
            </x14:dataBar>
          </x14:cfRule>
          <xm:sqref>D8:D8</xm:sqref>
        </x14:conditionalFormatting>
        <x14:conditionalFormatting>
          <x14:cfRule type="dataBar" priority="3" id="{05F28F76-8FCF-3AB3-3343-F0479D1506CE}">
            <x14:dataBar gradient="1">
              <x14:cfvo type="min"/>
              <x14:cfvo type="max"/>
              <x14:fillColor rgb="FF0B9B8B"/>
            </x14:dataBar>
          </x14:cfRule>
          <xm:sqref>D9:D9</xm:sqref>
        </x14:conditionalFormatting>
        <x14:conditionalFormatting>
          <x14:cfRule type="dataBar" priority="4" id="{124D4CF8-08FD-B01D-47B8-4CD1000A49C7}">
            <x14:dataBar gradient="1">
              <x14:cfvo type="min"/>
              <x14:cfvo type="max"/>
              <x14:fillColor rgb="FF0B9B8B"/>
            </x14:dataBar>
          </x14:cfRule>
          <xm:sqref>D10:D10</xm:sqref>
        </x14:conditionalFormatting>
        <x14:conditionalFormatting>
          <x14:cfRule type="dataBar" priority="5" id="{5F358C87-218D-1A78-EEDA-0F4128801350}">
            <x14:dataBar gradient="1">
              <x14:cfvo type="min"/>
              <x14:cfvo type="max"/>
              <x14:fillColor rgb="FF0B9B8B"/>
            </x14:dataBar>
          </x14:cfRule>
          <xm:sqref>D11:D11</xm:sqref>
        </x14:conditionalFormatting>
        <x14:conditionalFormatting>
          <x14:cfRule type="dataBar" priority="6" id="{EF22CF7C-1CCE-2D53-1121-A6D12EADA075}">
            <x14:dataBar gradient="1">
              <x14:cfvo type="min"/>
              <x14:cfvo type="max"/>
              <x14:fillColor rgb="FF0B9B8B"/>
            </x14:dataBar>
          </x14:cfRule>
          <xm:sqref>D12:D12</xm:sqref>
        </x14:conditionalFormatting>
        <x14:conditionalFormatting>
          <x14:cfRule type="dataBar" priority="7" id="{FC40AA03-B9CE-E452-286F-1294A19F1E3D}">
            <x14:dataBar gradient="1">
              <x14:cfvo type="min"/>
              <x14:cfvo type="max"/>
              <x14:fillColor rgb="FF0B9B8B"/>
            </x14:dataBar>
          </x14:cfRule>
          <xm:sqref>D14:D14</xm:sqref>
        </x14:conditionalFormatting>
        <x14:conditionalFormatting>
          <x14:cfRule type="dataBar" priority="8" id="{63517117-CA3D-B747-5772-2C99D94C70EE}">
            <x14:dataBar gradient="1">
              <x14:cfvo type="min"/>
              <x14:cfvo type="max"/>
              <x14:fillColor rgb="FF0B9B8B"/>
            </x14:dataBar>
          </x14:cfRule>
          <xm:sqref>D15:D15</xm:sqref>
        </x14:conditionalFormatting>
        <x14:conditionalFormatting>
          <x14:cfRule type="dataBar" priority="9" id="{9D5995F4-250C-F57E-4E5D-4A6C74573715}">
            <x14:dataBar gradient="1">
              <x14:cfvo type="min"/>
              <x14:cfvo type="max"/>
              <x14:fillColor rgb="FF0B9B8B"/>
            </x14:dataBar>
          </x14:cfRule>
          <xm:sqref>D16:D16</xm:sqref>
        </x14:conditionalFormatting>
        <x14:conditionalFormatting>
          <x14:cfRule type="dataBar" priority="10" id="{FD0EC8CA-E660-1EB4-97CA-D3620020D2B1}">
            <x14:dataBar gradient="1">
              <x14:cfvo type="min"/>
              <x14:cfvo type="max"/>
              <x14:fillColor rgb="FF0B9B8B"/>
            </x14:dataBar>
          </x14:cfRule>
          <xm:sqref>D17:D17</xm:sqref>
        </x14:conditionalFormatting>
        <x14:conditionalFormatting>
          <x14:cfRule type="dataBar" priority="11" id="{EC50BB02-FC23-EA82-9E86-FD7E692916C3}">
            <x14:dataBar gradient="1">
              <x14:cfvo type="min"/>
              <x14:cfvo type="max"/>
              <x14:fillColor rgb="FF0B9B8B"/>
            </x14:dataBar>
          </x14:cfRule>
          <xm:sqref>D18:D18</xm:sqref>
        </x14:conditionalFormatting>
        <x14:conditionalFormatting>
          <x14:cfRule type="dataBar" priority="12" id="{C0F30EC6-693A-103D-3478-2EFDD24690B4}">
            <x14:dataBar gradient="1">
              <x14:cfvo type="min"/>
              <x14:cfvo type="max"/>
              <x14:fillColor rgb="FF0B9B8B"/>
            </x14:dataBar>
          </x14:cfRule>
          <xm:sqref>D20:D20</xm:sqref>
        </x14:conditionalFormatting>
        <x14:conditionalFormatting>
          <x14:cfRule type="dataBar" priority="13" id="{2801368C-BC7D-5294-3E87-E05659130949}">
            <x14:dataBar gradient="1">
              <x14:cfvo type="min"/>
              <x14:cfvo type="max"/>
              <x14:fillColor rgb="FF0B9B8B"/>
            </x14:dataBar>
          </x14:cfRule>
          <xm:sqref>D21:D21</xm:sqref>
        </x14:conditionalFormatting>
        <x14:conditionalFormatting>
          <x14:cfRule type="dataBar" priority="14" id="{B076B5ED-7AA4-CB62-3397-A3EF33EE02C6}">
            <x14:dataBar gradient="1">
              <x14:cfvo type="min"/>
              <x14:cfvo type="max"/>
              <x14:fillColor rgb="FF0B9B8B"/>
            </x14:dataBar>
          </x14:cfRule>
          <xm:sqref>D22:D22</xm:sqref>
        </x14:conditionalFormatting>
        <x14:conditionalFormatting>
          <x14:cfRule type="dataBar" priority="15" id="{3017D5A3-A67C-D3B8-180D-56C01727A4DF}">
            <x14:dataBar gradient="1">
              <x14:cfvo type="min"/>
              <x14:cfvo type="max"/>
              <x14:fillColor rgb="FF0B9B8B"/>
            </x14:dataBar>
          </x14:cfRule>
          <xm:sqref>D23:D23</xm:sqref>
        </x14:conditionalFormatting>
        <x14:conditionalFormatting>
          <x14:cfRule type="dataBar" priority="16" id="{FE49F8E2-115F-E95E-E842-C9A6F42CEF9A}">
            <x14:dataBar gradient="1">
              <x14:cfvo type="min"/>
              <x14:cfvo type="max"/>
              <x14:fillColor rgb="FF0B9B8B"/>
            </x14:dataBar>
          </x14:cfRule>
          <xm:sqref>D24:D24</xm:sqref>
        </x14:conditionalFormatting>
        <x14:conditionalFormatting>
          <x14:cfRule type="dataBar" priority="17" id="{AE0DF03E-7EC3-DE24-E0E1-278440C052C9}">
            <x14:dataBar gradient="1">
              <x14:cfvo type="min"/>
              <x14:cfvo type="max"/>
              <x14:fillColor rgb="FF0B9B8B"/>
            </x14:dataBar>
          </x14:cfRule>
          <xm:sqref>D25:D25</xm:sqref>
        </x14:conditionalFormatting>
        <x14:conditionalFormatting>
          <x14:cfRule type="dataBar" priority="18" id="{5FAD01D2-A978-CF97-1824-A4FB1B05C99D}">
            <x14:dataBar gradient="1">
              <x14:cfvo type="min"/>
              <x14:cfvo type="max"/>
              <x14:fillColor rgb="FF0B9B8B"/>
            </x14:dataBar>
          </x14:cfRule>
          <xm:sqref>D28:D28</xm:sqref>
        </x14:conditionalFormatting>
        <x14:conditionalFormatting>
          <x14:cfRule type="dataBar" priority="19" id="{88A0BD83-8E06-23C1-0B4A-9A05E8BB82D3}">
            <x14:dataBar gradient="1">
              <x14:cfvo type="min"/>
              <x14:cfvo type="max"/>
              <x14:fillColor rgb="FF0B9B8B"/>
            </x14:dataBar>
          </x14:cfRule>
          <xm:sqref>D29:D29</xm:sqref>
        </x14:conditionalFormatting>
        <x14:conditionalFormatting>
          <x14:cfRule type="dataBar" priority="20" id="{E63A8F9B-A98E-B5F8-AD4F-BA8AD9F1DC26}">
            <x14:dataBar gradient="1">
              <x14:cfvo type="min"/>
              <x14:cfvo type="max"/>
              <x14:fillColor rgb="FF0B9B8B"/>
            </x14:dataBar>
          </x14:cfRule>
          <xm:sqref>D30:D30</xm:sqref>
        </x14:conditionalFormatting>
        <x14:conditionalFormatting>
          <x14:cfRule type="dataBar" priority="21" id="{596416BE-F851-925D-092B-65239E5370FF}">
            <x14:dataBar gradient="1">
              <x14:cfvo type="min"/>
              <x14:cfvo type="max"/>
              <x14:fillColor rgb="FF0B9B8B"/>
            </x14:dataBar>
          </x14:cfRule>
          <xm:sqref>D31:D31</xm:sqref>
        </x14:conditionalFormatting>
      </x14:conditionalFormattings>
    </x:ext>
  </x:extLst>
</x:worksheet>
</file>

<file path=xl/worksheets/sheet3.xml><?xml version="1.0" encoding="utf-8"?>
<x:worksheet xmlns:x="http://schemas.openxmlformats.org/spreadsheetml/2006/main">
  <x:sheetFormatPr defaultRowHeight="15"/>
  <x:cols>
    <x:col min="1" max="1" width="38" hidden="0" customWidth="1"/>
    <x:col min="2" max="2" width="18" hidden="0" customWidth="1"/>
    <x:col min="3" max="3" width="19" hidden="0" customWidth="1"/>
    <x:col min="4" max="4" width="17" hidden="0" customWidth="1"/>
    <x:col min="5" max="5" width="17" hidden="0" customWidth="1"/>
    <x:col min="6" max="6" width="17" hidden="0" customWidth="1"/>
    <x:col min="7" max="7" width="17" hidden="0" customWidth="1"/>
    <x:col min="8" max="8" width="49" hidden="0" customWidth="1"/>
  </x:cols>
  <x:sheetData>
    <x:row r="1" ht="23" customHeight="1">
      <x:c r="A1" s="4" t="str">
        <x:v>UNIT ECONOMICS   /   MONTH 1</x:v>
      </x:c>
      <x:c r="B1" s="4"/>
      <x:c r="C1" s="4"/>
      <x:c r="D1" s="4"/>
      <x:c r="E1" s="4"/>
      <x:c r="F1" s="4"/>
      <x:c r="G1" s="4"/>
      <x:c r="H1" s="4"/>
    </x:row>
    <x:row r="2" ht="23" customHeight="1">
      <x:c r="A2" s="4"/>
      <x:c r="B2" s="4"/>
      <x:c r="C2" s="4"/>
      <x:c r="D2" s="4"/>
      <x:c r="E2" s="4"/>
      <x:c r="F2" s="4"/>
      <x:c r="G2" s="4"/>
      <x:c r="H2" s="4"/>
    </x:row>
    <x:row r="3" ht="27" customHeight="1">
      <x:c r="A3" s="10" t="str">
        <x:v>Formula engine • linked directly to the editable Inputs sheet • USD unless otherwise stated</x:v>
      </x:c>
      <x:c r="B3" s="10"/>
      <x:c r="C3" s="10"/>
      <x:c r="D3" s="10"/>
      <x:c r="E3" s="10"/>
      <x:c r="F3" s="10"/>
      <x:c r="G3" s="10"/>
      <x:c r="H3" s="10"/>
    </x:row>
    <x:row r="5" ht="24" customHeight="1">
      <x:c r="A5" s="22" t="str">
        <x:v>OPERATING ASSUMPTIONS (GREEN = LINK TO INPUTS)</x:v>
      </x:c>
      <x:c r="B5" s="22"/>
      <x:c r="C5" s="22"/>
      <x:c r="D5" s="22"/>
      <x:c r="E5" s="22"/>
      <x:c r="F5" s="22"/>
      <x:c r="G5" s="22"/>
      <x:c r="H5" s="22"/>
    </x:row>
    <x:row r="7">
      <x:c r="A7" s="27" t="str">
        <x:v>Drivers</x:v>
      </x:c>
      <x:c r="B7" s="74" t="n">
        <x:f>Inputs!B7</x:f>
        <x:v>50</x:v>
      </x:c>
    </x:row>
    <x:row r="8">
      <x:c r="A8" s="78" t="str">
        <x:v>Rides per day</x:v>
      </x:c>
      <x:c r="B8" s="79" t="n">
        <x:f>Inputs!B8</x:f>
        <x:v>5</x:v>
      </x:c>
      <x:c r="C8" s="80"/>
      <x:c r="D8" s="80"/>
      <x:c r="E8" s="80"/>
      <x:c r="F8" s="80"/>
      <x:c r="G8" s="80"/>
      <x:c r="H8" s="80"/>
    </x:row>
    <x:row r="9">
      <x:c r="A9" s="27" t="str">
        <x:v>Days per month</x:v>
      </x:c>
      <x:c r="B9" s="74" t="n">
        <x:f>Inputs!B9</x:f>
        <x:v>20</x:v>
      </x:c>
    </x:row>
    <x:row r="10">
      <x:c r="A10" s="78" t="str">
        <x:v>Average fare ($/ride)</x:v>
      </x:c>
      <x:c r="B10" s="86" t="n">
        <x:f>Inputs!B10</x:f>
        <x:v>20</x:v>
      </x:c>
      <x:c r="C10" s="80"/>
      <x:c r="D10" s="80"/>
      <x:c r="E10" s="80"/>
      <x:c r="F10" s="80"/>
      <x:c r="G10" s="80"/>
      <x:c r="H10" s="80"/>
    </x:row>
    <x:row r="11">
      <x:c r="A11" s="27" t="str">
        <x:v>Company commission</x:v>
      </x:c>
      <x:c r="B11" s="88" t="n">
        <x:f>Inputs!B11</x:f>
        <x:v>0.25</x:v>
      </x:c>
    </x:row>
    <x:row r="12">
      <x:c r="A12" s="78" t="str">
        <x:v>Card share of fare</x:v>
      </x:c>
      <x:c r="B12" s="90" t="n">
        <x:f>Inputs!B12</x:f>
        <x:v>1</x:v>
      </x:c>
      <x:c r="C12" s="80"/>
      <x:c r="D12" s="80"/>
      <x:c r="E12" s="80"/>
      <x:c r="F12" s="80"/>
      <x:c r="G12" s="80"/>
      <x:c r="H12" s="80"/>
    </x:row>
    <x:row r="13">
      <x:c r="A13" s="27" t="str">
        <x:v>Card processing percentage</x:v>
      </x:c>
      <x:c r="B13" s="88" t="n">
        <x:f>Inputs!B14</x:f>
        <x:v>0.026</x:v>
      </x:c>
    </x:row>
    <x:row r="14">
      <x:c r="A14" s="78" t="str">
        <x:v>Card processing flat fee</x:v>
      </x:c>
      <x:c r="B14" s="86" t="n">
        <x:f>Inputs!B15</x:f>
        <x:v>0.15</x:v>
      </x:c>
      <x:c r="C14" s="80"/>
      <x:c r="D14" s="80"/>
      <x:c r="E14" s="80"/>
      <x:c r="F14" s="80"/>
      <x:c r="G14" s="80"/>
      <x:c r="H14" s="80"/>
    </x:row>
    <x:row r="15">
      <x:c r="A15" s="27" t="str">
        <x:v>Payout fee / ride</x:v>
      </x:c>
      <x:c r="B15" s="84" t="n">
        <x:f>Inputs!B16</x:f>
        <x:v>0</x:v>
      </x:c>
    </x:row>
    <x:row r="16">
      <x:c r="A16" s="78" t="str">
        <x:v>Local trip fee / ride</x:v>
      </x:c>
      <x:c r="B16" s="86" t="n">
        <x:f>Inputs!B17</x:f>
        <x:v>0</x:v>
      </x:c>
      <x:c r="C16" s="80"/>
      <x:c r="D16" s="80"/>
      <x:c r="E16" s="80"/>
      <x:c r="F16" s="80"/>
      <x:c r="G16" s="80"/>
      <x:c r="H16" s="80"/>
    </x:row>
    <x:row r="17">
      <x:c r="A17" s="27" t="str">
        <x:v>Other variable / ride</x:v>
      </x:c>
      <x:c r="B17" s="84" t="n">
        <x:f>Inputs!B18</x:f>
        <x:v>0</x:v>
      </x:c>
    </x:row>
    <x:row r="18">
      <x:c r="A18" s="78" t="str">
        <x:v>Software costs</x:v>
      </x:c>
      <x:c r="B18" s="94" t="n">
        <x:f>Inputs!B20</x:f>
        <x:v>1200</x:v>
      </x:c>
      <x:c r="C18" s="80"/>
      <x:c r="D18" s="80"/>
      <x:c r="E18" s="80"/>
      <x:c r="F18" s="80"/>
      <x:c r="G18" s="80"/>
      <x:c r="H18" s="80"/>
    </x:row>
    <x:row r="19">
      <x:c r="A19" s="27" t="str">
        <x:v>Payroll</x:v>
      </x:c>
      <x:c r="B19" s="92" t="n">
        <x:f>Inputs!B21</x:f>
        <x:v>1800</x:v>
      </x:c>
    </x:row>
    <x:row r="20">
      <x:c r="A20" s="78" t="str">
        <x:v>Marketing</x:v>
      </x:c>
      <x:c r="B20" s="94" t="n">
        <x:f>Inputs!B22</x:f>
        <x:v>1500</x:v>
      </x:c>
      <x:c r="C20" s="80"/>
      <x:c r="D20" s="80"/>
      <x:c r="E20" s="80"/>
      <x:c r="F20" s="80"/>
      <x:c r="G20" s="80"/>
      <x:c r="H20" s="80"/>
    </x:row>
    <x:row r="21">
      <x:c r="A21" s="27" t="str">
        <x:v>Insurance</x:v>
      </x:c>
      <x:c r="B21" s="92" t="n">
        <x:f>Inputs!B23</x:f>
        <x:v>700</x:v>
      </x:c>
    </x:row>
    <x:row r="22">
      <x:c r="A22" s="78" t="str">
        <x:v>Other fixed</x:v>
      </x:c>
      <x:c r="B22" s="94" t="n">
        <x:f>Inputs!B24</x:f>
        <x:v>300</x:v>
      </x:c>
      <x:c r="C22" s="80"/>
      <x:c r="D22" s="80"/>
      <x:c r="E22" s="80"/>
      <x:c r="F22" s="80"/>
      <x:c r="G22" s="80"/>
      <x:c r="H22" s="80"/>
    </x:row>
    <x:row r="23">
      <x:c r="A23" s="27" t="str">
        <x:v>Payroll tax assumption</x:v>
      </x:c>
      <x:c r="B23" s="88" t="n">
        <x:f>Inputs!B25</x:f>
        <x:v>0.0765</x:v>
      </x:c>
    </x:row>
    <x:row r="24">
      <x:c r="A24" s="78" t="str">
        <x:v>Federal tax assumption</x:v>
      </x:c>
      <x:c r="B24" s="90" t="n">
        <x:f>Inputs!B28</x:f>
        <x:v>0.21</x:v>
      </x:c>
      <x:c r="C24" s="80"/>
      <x:c r="D24" s="80"/>
      <x:c r="E24" s="80"/>
      <x:c r="F24" s="80"/>
      <x:c r="G24" s="80"/>
      <x:c r="H24" s="80"/>
    </x:row>
    <x:row r="25">
      <x:c r="A25" s="27" t="str">
        <x:v>State tax assumption</x:v>
      </x:c>
      <x:c r="B25" s="88" t="n">
        <x:f>Inputs!B29</x:f>
        <x:v>0</x:v>
      </x:c>
    </x:row>
    <x:row r="28" ht="24" customHeight="1">
      <x:c r="A28" s="22" t="str">
        <x:v>MONTH 1 CASHFLOW &amp; PROFIT MODEL</x:v>
      </x:c>
      <x:c r="B28" s="22"/>
      <x:c r="C28" s="22"/>
      <x:c r="D28" s="22"/>
      <x:c r="E28" s="22"/>
      <x:c r="F28" s="22"/>
      <x:c r="G28" s="22"/>
      <x:c r="H28" s="22"/>
    </x:row>
    <x:row r="29">
      <x:c r="D29" s="125" t="str">
        <x:v>Company gross commission excludes the 75% driver share. Tax is modeled on operating profit, NOT on total passenger fares.</x:v>
      </x:c>
      <x:c r="E29" s="125"/>
      <x:c r="F29" s="125"/>
      <x:c r="G29" s="125"/>
      <x:c r="H29" s="125"/>
    </x:row>
    <x:row r="30" ht="21" customHeight="1">
      <x:c r="A30" s="80" t="str">
        <x:v>Completed rides / month</x:v>
      </x:c>
      <x:c r="B30" s="102" t="n">
        <x:f>B7*B8*B9</x:f>
        <x:v>5000</x:v>
      </x:c>
      <x:c r="C30" s="80"/>
      <x:c r="D30" s="125"/>
      <x:c r="E30" s="125"/>
      <x:c r="F30" s="125"/>
      <x:c r="G30" s="125"/>
      <x:c r="H30" s="125"/>
    </x:row>
    <x:row r="31" ht="21" customHeight="1">
      <x:c r="A31" s="108" t="str">
        <x:v>Total passenger fares</x:v>
      </x:c>
      <x:c r="B31" s="114" t="n">
        <x:f>B30*B10</x:f>
        <x:v>100000</x:v>
      </x:c>
      <x:c r="C31" s="108"/>
      <x:c r="D31" s="125"/>
      <x:c r="E31" s="125"/>
      <x:c r="F31" s="125"/>
      <x:c r="G31" s="125"/>
      <x:c r="H31" s="125"/>
    </x:row>
    <x:row r="32" ht="21" customHeight="1">
      <x:c r="A32" s="80" t="str">
        <x:v>Drivers' fare share (pass-through)</x:v>
      </x:c>
      <x:c r="B32" s="116" t="n">
        <x:f>B31*(1-B11)</x:f>
        <x:v>75000</x:v>
      </x:c>
      <x:c r="C32" s="80"/>
      <x:c r="D32" s="125"/>
      <x:c r="E32" s="125"/>
      <x:c r="F32" s="125"/>
      <x:c r="G32" s="125"/>
      <x:c r="H32" s="125"/>
    </x:row>
    <x:row r="33" ht="21" customHeight="1">
      <x:c r="A33" s="108" t="str">
        <x:v>Company gross commission revenue</x:v>
      </x:c>
      <x:c r="B33" s="114" t="n">
        <x:f>B31*B11</x:f>
        <x:v>25000</x:v>
      </x:c>
      <x:c r="C33" s="108"/>
      <x:c r="D33" s="125"/>
      <x:c r="E33" s="125"/>
      <x:c r="F33" s="125"/>
      <x:c r="G33" s="125"/>
      <x:c r="H33" s="125"/>
    </x:row>
    <x:row r="35" ht="21" customHeight="1">
      <x:c r="A35" t="str">
        <x:v>Card processing fees</x:v>
      </x:c>
      <x:c r="B35" s="104" t="n">
        <x:f>B31*B12*B13+B30*B12*B14</x:f>
        <x:v>3350</x:v>
      </x:c>
      <x:c r="D35" s="130" t="str">
        <x:v>Tax simplification: the model assumes a U.S. C corporation, one illustrative state income tax rate, no loss carryforwards, and that modeled state tax is deductible before federal income tax. Other taxes, fees, minimum taxes, and owner dividend taxes are excluded.</x:v>
      </x:c>
      <x:c r="E35" s="130"/>
      <x:c r="F35" s="130"/>
      <x:c r="G35" s="130"/>
      <x:c r="H35" s="130"/>
    </x:row>
    <x:row r="36" ht="21" customHeight="1">
      <x:c r="A36" s="80" t="str">
        <x:v>Driver payout / transfer fees</x:v>
      </x:c>
      <x:c r="B36" s="116" t="n">
        <x:f>B30*B15</x:f>
        <x:v>0</x:v>
      </x:c>
      <x:c r="C36" s="80"/>
      <x:c r="D36" s="130"/>
      <x:c r="E36" s="130"/>
      <x:c r="F36" s="130"/>
      <x:c r="G36" s="130"/>
      <x:c r="H36" s="130"/>
    </x:row>
    <x:row r="37" ht="21" customHeight="1">
      <x:c r="A37" t="str">
        <x:v>Local per-trip fees</x:v>
      </x:c>
      <x:c r="B37" s="104" t="n">
        <x:f>B30*B16</x:f>
        <x:v>0</x:v>
      </x:c>
      <x:c r="D37" s="130"/>
      <x:c r="E37" s="130"/>
      <x:c r="F37" s="130"/>
      <x:c r="G37" s="130"/>
      <x:c r="H37" s="130"/>
    </x:row>
    <x:row r="38" ht="21" customHeight="1">
      <x:c r="A38" s="80" t="str">
        <x:v>Other variable expenses</x:v>
      </x:c>
      <x:c r="B38" s="116" t="n">
        <x:f>B30*B17</x:f>
        <x:v>0</x:v>
      </x:c>
      <x:c r="C38" s="80"/>
      <x:c r="D38" s="130"/>
      <x:c r="E38" s="130"/>
      <x:c r="F38" s="130"/>
      <x:c r="G38" s="130"/>
      <x:c r="H38" s="130"/>
    </x:row>
    <x:row r="39" ht="21" customHeight="1">
      <x:c r="A39" t="str">
        <x:v>App / hosting costs</x:v>
      </x:c>
      <x:c r="B39" s="104" t="n">
        <x:f>B18</x:f>
        <x:v>1200</x:v>
      </x:c>
      <x:c r="D39" s="130"/>
      <x:c r="E39" s="130"/>
      <x:c r="F39" s="130"/>
      <x:c r="G39" s="130"/>
      <x:c r="H39" s="130"/>
    </x:row>
    <x:row r="40" ht="21" customHeight="1">
      <x:c r="A40" s="80" t="str">
        <x:v>Employee payroll expense</x:v>
      </x:c>
      <x:c r="B40" s="116" t="n">
        <x:f>B19</x:f>
        <x:v>1800</x:v>
      </x:c>
      <x:c r="C40" s="80"/>
      <x:c r="D40" s="130"/>
      <x:c r="E40" s="130"/>
      <x:c r="F40" s="130"/>
      <x:c r="G40" s="130"/>
      <x:c r="H40" s="130"/>
    </x:row>
    <x:row r="41" ht="21" customHeight="1">
      <x:c r="A41" t="str">
        <x:v>Employer payroll taxes</x:v>
      </x:c>
      <x:c r="B41" s="104" t="n">
        <x:f>B40*B23</x:f>
        <x:v>137.7</x:v>
      </x:c>
      <x:c r="D41" s="130"/>
      <x:c r="E41" s="130"/>
      <x:c r="F41" s="130"/>
      <x:c r="G41" s="130"/>
      <x:c r="H41" s="130"/>
    </x:row>
    <x:row r="42" ht="21" customHeight="1">
      <x:c r="A42" s="80" t="str">
        <x:v>Marketing expenses</x:v>
      </x:c>
      <x:c r="B42" s="116" t="n">
        <x:f>B20</x:f>
        <x:v>1500</x:v>
      </x:c>
      <x:c r="C42" s="80"/>
      <x:c r="D42" s="130"/>
      <x:c r="E42" s="130"/>
      <x:c r="F42" s="130"/>
      <x:c r="G42" s="130"/>
      <x:c r="H42" s="130"/>
    </x:row>
    <x:row r="43" ht="21" customHeight="1">
      <x:c r="A43" t="str">
        <x:v>Insurance / compliance expenses</x:v>
      </x:c>
      <x:c r="B43" s="104" t="n">
        <x:f>B21</x:f>
        <x:v>700</x:v>
      </x:c>
    </x:row>
    <x:row r="44" ht="21" customHeight="1">
      <x:c r="A44" s="80" t="str">
        <x:v>Other fixed expenses</x:v>
      </x:c>
      <x:c r="B44" s="116" t="n">
        <x:f>B22</x:f>
        <x:v>300</x:v>
      </x:c>
      <x:c r="C44" s="80"/>
      <x:c r="D44" s="136" t="str">
        <x:v>If drivers are treated as employees instead of independent contractors, payroll, insurance, and legal obligations could be materially different. Do not rely on this model to determine worker classification.</x:v>
      </x:c>
      <x:c r="E44" s="136"/>
      <x:c r="F44" s="136"/>
      <x:c r="G44" s="136"/>
      <x:c r="H44" s="136"/>
    </x:row>
    <x:row r="45" ht="21" customHeight="1">
      <x:c r="A45" s="108" t="str">
        <x:v>Total company operating expenses</x:v>
      </x:c>
      <x:c r="B45" s="114" t="n">
        <x:f>SUM(B35:B44)</x:f>
        <x:v>8987.7</x:v>
      </x:c>
      <x:c r="C45" s="108"/>
      <x:c r="D45" s="136"/>
      <x:c r="E45" s="136"/>
      <x:c r="F45" s="136"/>
      <x:c r="G45" s="136"/>
      <x:c r="H45" s="136"/>
    </x:row>
    <x:row r="46" ht="21" customHeight="1">
      <x:c r="A46" s="108" t="str">
        <x:v>Earnings before corporate income tax</x:v>
      </x:c>
      <x:c r="B46" s="114" t="n">
        <x:f>B33-B45</x:f>
        <x:v>16012.3</x:v>
      </x:c>
      <x:c r="C46" s="108"/>
      <x:c r="D46" s="136"/>
      <x:c r="E46" s="136"/>
      <x:c r="F46" s="136"/>
      <x:c r="G46" s="136"/>
      <x:c r="H46" s="136"/>
    </x:row>
    <x:row r="47" ht="21" customHeight="1">
      <x:c r="A47" t="str">
        <x:v>Illustrative state corporate income tax</x:v>
      </x:c>
      <x:c r="B47" s="104" t="n">
        <x:f>MAX(0,B46)*B25</x:f>
        <x:v>0</x:v>
      </x:c>
      <x:c r="D47" s="136"/>
      <x:c r="E47" s="136"/>
      <x:c r="F47" s="136"/>
      <x:c r="G47" s="136"/>
      <x:c r="H47" s="136"/>
    </x:row>
    <x:row r="48" ht="21" customHeight="1">
      <x:c r="A48" s="80" t="str">
        <x:v>Illustrative federal corporate income tax</x:v>
      </x:c>
      <x:c r="B48" s="116" t="n">
        <x:f>MAX(0,B46-B47)*B24</x:f>
        <x:v>3362.5829999999996</x:v>
      </x:c>
      <x:c r="C48" s="80"/>
      <x:c r="D48" s="136"/>
      <x:c r="E48" s="136"/>
      <x:c r="F48" s="136"/>
      <x:c r="G48" s="136"/>
      <x:c r="H48" s="136"/>
    </x:row>
    <x:row r="49" ht="21" customHeight="1">
      <x:c r="A49" t="str">
        <x:v>Total modeled corporate income taxes</x:v>
      </x:c>
      <x:c r="B49" s="104" t="n">
        <x:f>SUM(B47:B48)</x:f>
        <x:v>3362.5829999999996</x:v>
      </x:c>
      <x:c r="D49" s="136"/>
      <x:c r="E49" s="136"/>
      <x:c r="F49" s="136"/>
      <x:c r="G49" s="136"/>
      <x:c r="H49" s="136"/>
    </x:row>
    <x:row r="50" ht="21" customHeight="1">
      <x:c r="A50" s="108" t="str">
        <x:v>Company profit after estimated taxes</x:v>
      </x:c>
      <x:c r="B50" s="114" t="n">
        <x:f>B46-B49</x:f>
        <x:v>12649.717</x:v>
      </x:c>
      <x:c r="C50" s="108"/>
    </x:row>
    <x:row r="51" ht="21" customHeight="1">
      <x:c r="A51" t="str">
        <x:v>After-tax profit as % of total fares</x:v>
      </x:c>
      <x:c r="B51" s="118" t="n">
        <x:f>IFERROR(B50/B31,0)</x:f>
        <x:v>0.12649717</x:v>
      </x:c>
    </x:row>
    <x:row r="52" ht="21" customHeight="1">
      <x:c r="A52" s="80" t="str">
        <x:v>After-tax profit as % of commission</x:v>
      </x:c>
      <x:c r="B52" s="120" t="n">
        <x:f>IFERROR(B50/B33,0)</x:f>
        <x:v>0.50598868</x:v>
      </x:c>
      <x:c r="C52" s="80"/>
    </x:row>
    <x:row r="53" ht="21" customHeight="1">
      <x:c r="A53" t="str">
        <x:v>Annual passenger fares at this run-rate</x:v>
      </x:c>
      <x:c r="B53" s="104" t="n">
        <x:f>B31*12</x:f>
        <x:v>1200000</x:v>
      </x:c>
    </x:row>
    <x:row r="54" ht="21" customHeight="1">
      <x:c r="A54" s="108" t="str">
        <x:v>Annual company profit at this run-rate</x:v>
      </x:c>
      <x:c r="B54" s="114" t="n">
        <x:f>B50*12</x:f>
        <x:v>151796.604</x:v>
      </x:c>
      <x:c r="C54" s="108"/>
    </x:row>
    <x:row r="57" ht="24" customHeight="1">
      <x:c r="A57" s="22" t="str">
        <x:v>WHERE PASSENGER FARES GO — CHART DATA</x:v>
      </x:c>
      <x:c r="B57" s="22"/>
      <x:c r="C57" s="22"/>
      <x:c r="D57" s="22"/>
      <x:c r="E57" s="22"/>
      <x:c r="F57" s="22"/>
      <x:c r="G57" s="22"/>
      <x:c r="H57" s="22"/>
    </x:row>
    <x:row r="58">
      <x:c r="A58" s="16" t="str">
        <x:v>Fare allocation</x:v>
      </x:c>
      <x:c r="B58" s="16" t="str">
        <x:v>USD / month</x:v>
      </x:c>
    </x:row>
    <x:row r="59">
      <x:c r="A59" t="str">
        <x:v>Drivers (75% at base case)</x:v>
      </x:c>
      <x:c r="B59" s="122" t="n">
        <x:f>B32</x:f>
        <x:v>75000</x:v>
      </x:c>
    </x:row>
    <x:row r="60">
      <x:c r="A60" t="str">
        <x:v>Payment processing</x:v>
      </x:c>
      <x:c r="B60" s="122" t="n">
        <x:f>B35</x:f>
        <x:v>3350</x:v>
      </x:c>
    </x:row>
    <x:row r="61">
      <x:c r="A61" t="str">
        <x:v>Other operating costs</x:v>
      </x:c>
      <x:c r="B61" s="122" t="n">
        <x:f>B45-B35</x:f>
        <x:v>5637.700000000001</x:v>
      </x:c>
    </x:row>
    <x:row r="62">
      <x:c r="A62" t="str">
        <x:v>Corporate income taxes</x:v>
      </x:c>
      <x:c r="B62" s="122" t="n">
        <x:f>B49</x:f>
        <x:v>3362.5829999999996</x:v>
      </x:c>
    </x:row>
    <x:row r="63">
      <x:c r="A63" t="str">
        <x:v>Company after-tax income</x:v>
      </x:c>
      <x:c r="B63" s="122" t="n">
        <x:f>B50</x:f>
        <x:v>12649.717</x:v>
      </x:c>
    </x:row>
  </x:sheetData>
  <x:mergeCells>
    <x:mergeCell ref="A1:H2"/>
    <x:mergeCell ref="A3:H3"/>
    <x:mergeCell ref="A5:H5"/>
    <x:mergeCell ref="A28:H28"/>
    <x:mergeCell ref="A57:H57"/>
    <x:mergeCell ref="D29:H33"/>
    <x:mergeCell ref="D35:H42"/>
    <x:mergeCell ref="D44:H49"/>
  </x:mergeCells>
  <x:pageMargins left="0.7" right="0.7" top="0.75" bottom="0.75" header="0.3" footer="0.3"/>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s>
  <x:sheetData>
    <x:row r="1" ht="23" customHeight="1">
      <x:c r="A1" s="4" t="str">
        <x:v>12-MONTH PROJECTION   /   DRIVER GROWTH &amp; CASHFLOW</x:v>
      </x:c>
      <x:c r="B1" s="4"/>
      <x:c r="C1" s="4"/>
      <x:c r="D1" s="4"/>
      <x:c r="E1" s="4"/>
      <x:c r="F1" s="4"/>
      <x:c r="G1" s="4"/>
      <x:c r="H1" s="4"/>
      <x:c r="I1" s="4"/>
      <x:c r="J1" s="4"/>
      <x:c r="K1" s="4"/>
      <x:c r="L1" s="4"/>
      <x:c r="M1" s="4"/>
      <x:c r="N1" s="4"/>
      <x:c r="O1" s="4"/>
      <x:c r="P1" s="4"/>
      <x:c r="Q1" s="4"/>
      <x:c r="R1" s="4"/>
    </x:row>
    <x:row r="2" ht="23" customHeight="1">
      <x:c r="A2" s="4"/>
      <x:c r="B2" s="4"/>
      <x:c r="C2" s="4"/>
      <x:c r="D2" s="4"/>
      <x:c r="E2" s="4"/>
      <x:c r="F2" s="4"/>
      <x:c r="G2" s="4"/>
      <x:c r="H2" s="4"/>
      <x:c r="I2" s="4"/>
      <x:c r="J2" s="4"/>
      <x:c r="K2" s="4"/>
      <x:c r="L2" s="4"/>
      <x:c r="M2" s="4"/>
      <x:c r="N2" s="4"/>
      <x:c r="O2" s="4"/>
      <x:c r="P2" s="4"/>
      <x:c r="Q2" s="4"/>
      <x:c r="R2" s="4"/>
    </x:row>
    <x:row r="3" ht="27" customHeight="1">
      <x:c r="A3" s="10" t="str">
        <x:v>Projected months are illustrative • change growth and base inputs on Inputs sheet • driver count rounded to whole drivers</x:v>
      </x:c>
      <x:c r="B3" s="10"/>
      <x:c r="C3" s="10"/>
      <x:c r="D3" s="10"/>
      <x:c r="E3" s="10"/>
      <x:c r="F3" s="10"/>
      <x:c r="G3" s="10"/>
      <x:c r="H3" s="10"/>
      <x:c r="I3" s="10"/>
      <x:c r="J3" s="10"/>
      <x:c r="K3" s="10"/>
      <x:c r="L3" s="10"/>
      <x:c r="M3" s="10"/>
      <x:c r="N3" s="10"/>
      <x:c r="O3" s="10"/>
      <x:c r="P3" s="10"/>
      <x:c r="Q3" s="10"/>
      <x:c r="R3" s="10"/>
    </x:row>
    <x:row r="6" ht="33" customHeight="1">
      <x:c r="A6" s="140" t="str">
        <x:v>#</x:v>
      </x:c>
      <x:c r="B6" s="140" t="str">
        <x:v>Period</x:v>
      </x:c>
      <x:c r="C6" s="140" t="str">
        <x:v>Drivers</x:v>
      </x:c>
      <x:c r="D6" s="140" t="str">
        <x:v>Avg fare ($)</x:v>
      </x:c>
      <x:c r="E6" s="140" t="str">
        <x:v>Trips</x:v>
      </x:c>
      <x:c r="F6" s="140" t="str">
        <x:v>Gross fares ($)</x:v>
      </x:c>
      <x:c r="G6" s="140" t="str">
        <x:v>Drivers' share ($)</x:v>
      </x:c>
      <x:c r="H6" s="140" t="str">
        <x:v>Platform fee ($)</x:v>
      </x:c>
      <x:c r="I6" s="140" t="str">
        <x:v>Card fees ($)</x:v>
      </x:c>
      <x:c r="J6" s="140" t="str">
        <x:v>Payout fees ($)</x:v>
      </x:c>
      <x:c r="K6" s="140" t="str">
        <x:v>Per-trip ops ($)</x:v>
      </x:c>
      <x:c r="L6" s="140" t="str">
        <x:v>Fixed costs ($)</x:v>
      </x:c>
      <x:c r="M6" s="140" t="str">
        <x:v>Pretax profit ($)</x:v>
      </x:c>
      <x:c r="N6" s="140" t="str">
        <x:v>State tax ($)</x:v>
      </x:c>
      <x:c r="O6" s="140" t="str">
        <x:v>Federal tax ($)</x:v>
      </x:c>
      <x:c r="P6" s="140" t="str">
        <x:v>Net profit ($)</x:v>
      </x:c>
      <x:c r="Q6" s="140" t="str">
        <x:v>Net margin</x:v>
      </x:c>
      <x:c r="R6" s="140" t="str">
        <x:v>Cumulative ($)</x:v>
      </x:c>
    </x:row>
    <x:row r="7" ht="25" customHeight="1">
      <x:c r="A7" t="n">
        <x:v>1</x:v>
      </x:c>
      <x:c r="B7" t="str">
        <x:v>Month 1</x:v>
      </x:c>
      <x:c r="C7" s="142" t="n">
        <x:f>ROUND(Inputs!$B$7*(1+Inputs!$B$30)^(A7-1),0)</x:f>
        <x:v>50</x:v>
      </x:c>
      <x:c r="D7" s="144" t="n">
        <x:f>Inputs!$B$10*(1+Inputs!$B$31)^(A7-1)</x:f>
        <x:v>20</x:v>
      </x:c>
      <x:c r="E7" s="142" t="n">
        <x:f>C7*Inputs!$B$8*Inputs!$B$9</x:f>
        <x:v>5000</x:v>
      </x:c>
      <x:c r="F7" s="122" t="n">
        <x:f>E7*D7</x:f>
        <x:v>100000</x:v>
      </x:c>
      <x:c r="G7" s="122" t="n">
        <x:f>F7*(1-Inputs!$B$11)</x:f>
        <x:v>75000</x:v>
      </x:c>
      <x:c r="H7" s="122" t="n">
        <x:f>F7*Inputs!$B$11</x:f>
        <x:v>25000</x:v>
      </x:c>
      <x:c r="I7" s="122" t="n">
        <x:f>F7*Inputs!$B$12*Inputs!$B$14+E7*Inputs!$B$12*Inputs!$B$15</x:f>
        <x:v>3350</x:v>
      </x:c>
      <x:c r="J7" s="122" t="n">
        <x:f>E7*Inputs!$B$16</x:f>
        <x:v>0</x:v>
      </x:c>
      <x:c r="K7" s="122" t="n">
        <x:f>E7*(Inputs!$B$17+Inputs!$B$18)</x:f>
        <x:v>0</x:v>
      </x:c>
      <x:c r="L7" s="122" t="n">
        <x:f>SUM(Inputs!$B$20:$B$24)+Inputs!$B$21*Inputs!$B$25</x:f>
        <x:v>5637.7</x:v>
      </x:c>
      <x:c r="M7" s="122" t="n">
        <x:f>H7-SUM(I7:L7)</x:f>
        <x:v>16012.3</x:v>
      </x:c>
      <x:c r="N7" s="122" t="n">
        <x:f>MAX(0,M7)*Inputs!$B$29</x:f>
        <x:v>0</x:v>
      </x:c>
      <x:c r="O7" s="122" t="n">
        <x:f>MAX(0,M7-N7)*Inputs!$B$28</x:f>
        <x:v>3362.5829999999996</x:v>
      </x:c>
      <x:c r="P7" s="122" t="n">
        <x:f>M7-N7-O7</x:f>
        <x:v>12649.717</x:v>
      </x:c>
      <x:c r="Q7" s="146" t="n">
        <x:f>IFERROR(P7/F7,0)</x:f>
        <x:v>0.12649717</x:v>
      </x:c>
      <x:c r="R7" s="122" t="n">
        <x:f>SUM($P$7:P7)</x:f>
        <x:v>12649.717</x:v>
      </x:c>
    </x:row>
    <x:row r="8" ht="25" customHeight="1">
      <x:c r="A8" s="80" t="n">
        <x:v>2</x:v>
      </x:c>
      <x:c r="B8" s="80" t="str">
        <x:v>Month 2</x:v>
      </x:c>
      <x:c r="C8" s="148" t="n">
        <x:f>ROUND(Inputs!$B$7*(1+Inputs!$B$30)^(A8-1),0)</x:f>
        <x:v>50</x:v>
      </x:c>
      <x:c r="D8" s="149" t="n">
        <x:f>Inputs!$B$10*(1+Inputs!$B$31)^(A8-1)</x:f>
        <x:v>20</x:v>
      </x:c>
      <x:c r="E8" s="148" t="n">
        <x:f>C8*Inputs!$B$8*Inputs!$B$9</x:f>
        <x:v>5000</x:v>
      </x:c>
      <x:c r="F8" s="150" t="n">
        <x:f>E8*D8</x:f>
        <x:v>100000</x:v>
      </x:c>
      <x:c r="G8" s="150" t="n">
        <x:f>F8*(1-Inputs!$B$11)</x:f>
        <x:v>75000</x:v>
      </x:c>
      <x:c r="H8" s="150" t="n">
        <x:f>F8*Inputs!$B$11</x:f>
        <x:v>25000</x:v>
      </x:c>
      <x:c r="I8" s="150" t="n">
        <x:f>F8*Inputs!$B$12*Inputs!$B$14+E8*Inputs!$B$12*Inputs!$B$15</x:f>
        <x:v>3350</x:v>
      </x:c>
      <x:c r="J8" s="150" t="n">
        <x:f>E8*Inputs!$B$16</x:f>
        <x:v>0</x:v>
      </x:c>
      <x:c r="K8" s="150" t="n">
        <x:f>E8*(Inputs!$B$17+Inputs!$B$18)</x:f>
        <x:v>0</x:v>
      </x:c>
      <x:c r="L8" s="150" t="n">
        <x:f>SUM(Inputs!$B$20:$B$24)+Inputs!$B$21*Inputs!$B$25</x:f>
        <x:v>5637.7</x:v>
      </x:c>
      <x:c r="M8" s="150" t="n">
        <x:f>H8-SUM(I8:L8)</x:f>
        <x:v>16012.3</x:v>
      </x:c>
      <x:c r="N8" s="150" t="n">
        <x:f>MAX(0,M8)*Inputs!$B$29</x:f>
        <x:v>0</x:v>
      </x:c>
      <x:c r="O8" s="150" t="n">
        <x:f>MAX(0,M8-N8)*Inputs!$B$28</x:f>
        <x:v>3362.5829999999996</x:v>
      </x:c>
      <x:c r="P8" s="150" t="n">
        <x:f>M8-N8-O8</x:f>
        <x:v>12649.717</x:v>
      </x:c>
      <x:c r="Q8" s="151" t="n">
        <x:f>IFERROR(P8/F8,0)</x:f>
        <x:v>0.12649717</x:v>
      </x:c>
      <x:c r="R8" s="150" t="n">
        <x:f>SUM($P$7:P8)</x:f>
        <x:v>25299.434</x:v>
      </x:c>
    </x:row>
    <x:row r="9" ht="25" customHeight="1">
      <x:c r="A9" t="n">
        <x:v>3</x:v>
      </x:c>
      <x:c r="B9" t="str">
        <x:v>Month 3</x:v>
      </x:c>
      <x:c r="C9" s="142" t="n">
        <x:f>ROUND(Inputs!$B$7*(1+Inputs!$B$30)^(A9-1),0)</x:f>
        <x:v>50</x:v>
      </x:c>
      <x:c r="D9" s="144" t="n">
        <x:f>Inputs!$B$10*(1+Inputs!$B$31)^(A9-1)</x:f>
        <x:v>20</x:v>
      </x:c>
      <x:c r="E9" s="142" t="n">
        <x:f>C9*Inputs!$B$8*Inputs!$B$9</x:f>
        <x:v>5000</x:v>
      </x:c>
      <x:c r="F9" s="122" t="n">
        <x:f>E9*D9</x:f>
        <x:v>100000</x:v>
      </x:c>
      <x:c r="G9" s="122" t="n">
        <x:f>F9*(1-Inputs!$B$11)</x:f>
        <x:v>75000</x:v>
      </x:c>
      <x:c r="H9" s="122" t="n">
        <x:f>F9*Inputs!$B$11</x:f>
        <x:v>25000</x:v>
      </x:c>
      <x:c r="I9" s="122" t="n">
        <x:f>F9*Inputs!$B$12*Inputs!$B$14+E9*Inputs!$B$12*Inputs!$B$15</x:f>
        <x:v>3350</x:v>
      </x:c>
      <x:c r="J9" s="122" t="n">
        <x:f>E9*Inputs!$B$16</x:f>
        <x:v>0</x:v>
      </x:c>
      <x:c r="K9" s="122" t="n">
        <x:f>E9*(Inputs!$B$17+Inputs!$B$18)</x:f>
        <x:v>0</x:v>
      </x:c>
      <x:c r="L9" s="122" t="n">
        <x:f>SUM(Inputs!$B$20:$B$24)+Inputs!$B$21*Inputs!$B$25</x:f>
        <x:v>5637.7</x:v>
      </x:c>
      <x:c r="M9" s="122" t="n">
        <x:f>H9-SUM(I9:L9)</x:f>
        <x:v>16012.3</x:v>
      </x:c>
      <x:c r="N9" s="122" t="n">
        <x:f>MAX(0,M9)*Inputs!$B$29</x:f>
        <x:v>0</x:v>
      </x:c>
      <x:c r="O9" s="122" t="n">
        <x:f>MAX(0,M9-N9)*Inputs!$B$28</x:f>
        <x:v>3362.5829999999996</x:v>
      </x:c>
      <x:c r="P9" s="122" t="n">
        <x:f>M9-N9-O9</x:f>
        <x:v>12649.717</x:v>
      </x:c>
      <x:c r="Q9" s="146" t="n">
        <x:f>IFERROR(P9/F9,0)</x:f>
        <x:v>0.12649717</x:v>
      </x:c>
      <x:c r="R9" s="122" t="n">
        <x:f>SUM($P$7:P9)</x:f>
        <x:v>37949.151</x:v>
      </x:c>
    </x:row>
    <x:row r="10" ht="25" customHeight="1">
      <x:c r="A10" s="80" t="n">
        <x:v>4</x:v>
      </x:c>
      <x:c r="B10" s="80" t="str">
        <x:v>Month 4</x:v>
      </x:c>
      <x:c r="C10" s="148" t="n">
        <x:f>ROUND(Inputs!$B$7*(1+Inputs!$B$30)^(A10-1),0)</x:f>
        <x:v>50</x:v>
      </x:c>
      <x:c r="D10" s="149" t="n">
        <x:f>Inputs!$B$10*(1+Inputs!$B$31)^(A10-1)</x:f>
        <x:v>20</x:v>
      </x:c>
      <x:c r="E10" s="148" t="n">
        <x:f>C10*Inputs!$B$8*Inputs!$B$9</x:f>
        <x:v>5000</x:v>
      </x:c>
      <x:c r="F10" s="150" t="n">
        <x:f>E10*D10</x:f>
        <x:v>100000</x:v>
      </x:c>
      <x:c r="G10" s="150" t="n">
        <x:f>F10*(1-Inputs!$B$11)</x:f>
        <x:v>75000</x:v>
      </x:c>
      <x:c r="H10" s="150" t="n">
        <x:f>F10*Inputs!$B$11</x:f>
        <x:v>25000</x:v>
      </x:c>
      <x:c r="I10" s="150" t="n">
        <x:f>F10*Inputs!$B$12*Inputs!$B$14+E10*Inputs!$B$12*Inputs!$B$15</x:f>
        <x:v>3350</x:v>
      </x:c>
      <x:c r="J10" s="150" t="n">
        <x:f>E10*Inputs!$B$16</x:f>
        <x:v>0</x:v>
      </x:c>
      <x:c r="K10" s="150" t="n">
        <x:f>E10*(Inputs!$B$17+Inputs!$B$18)</x:f>
        <x:v>0</x:v>
      </x:c>
      <x:c r="L10" s="150" t="n">
        <x:f>SUM(Inputs!$B$20:$B$24)+Inputs!$B$21*Inputs!$B$25</x:f>
        <x:v>5637.7</x:v>
      </x:c>
      <x:c r="M10" s="150" t="n">
        <x:f>H10-SUM(I10:L10)</x:f>
        <x:v>16012.3</x:v>
      </x:c>
      <x:c r="N10" s="150" t="n">
        <x:f>MAX(0,M10)*Inputs!$B$29</x:f>
        <x:v>0</x:v>
      </x:c>
      <x:c r="O10" s="150" t="n">
        <x:f>MAX(0,M10-N10)*Inputs!$B$28</x:f>
        <x:v>3362.5829999999996</x:v>
      </x:c>
      <x:c r="P10" s="150" t="n">
        <x:f>M10-N10-O10</x:f>
        <x:v>12649.717</x:v>
      </x:c>
      <x:c r="Q10" s="151" t="n">
        <x:f>IFERROR(P10/F10,0)</x:f>
        <x:v>0.12649717</x:v>
      </x:c>
      <x:c r="R10" s="150" t="n">
        <x:f>SUM($P$7:P10)</x:f>
        <x:v>50598.868</x:v>
      </x:c>
    </x:row>
    <x:row r="11" ht="25" customHeight="1">
      <x:c r="A11" t="n">
        <x:v>5</x:v>
      </x:c>
      <x:c r="B11" t="str">
        <x:v>Month 5</x:v>
      </x:c>
      <x:c r="C11" s="142" t="n">
        <x:f>ROUND(Inputs!$B$7*(1+Inputs!$B$30)^(A11-1),0)</x:f>
        <x:v>50</x:v>
      </x:c>
      <x:c r="D11" s="144" t="n">
        <x:f>Inputs!$B$10*(1+Inputs!$B$31)^(A11-1)</x:f>
        <x:v>20</x:v>
      </x:c>
      <x:c r="E11" s="142" t="n">
        <x:f>C11*Inputs!$B$8*Inputs!$B$9</x:f>
        <x:v>5000</x:v>
      </x:c>
      <x:c r="F11" s="122" t="n">
        <x:f>E11*D11</x:f>
        <x:v>100000</x:v>
      </x:c>
      <x:c r="G11" s="122" t="n">
        <x:f>F11*(1-Inputs!$B$11)</x:f>
        <x:v>75000</x:v>
      </x:c>
      <x:c r="H11" s="122" t="n">
        <x:f>F11*Inputs!$B$11</x:f>
        <x:v>25000</x:v>
      </x:c>
      <x:c r="I11" s="122" t="n">
        <x:f>F11*Inputs!$B$12*Inputs!$B$14+E11*Inputs!$B$12*Inputs!$B$15</x:f>
        <x:v>3350</x:v>
      </x:c>
      <x:c r="J11" s="122" t="n">
        <x:f>E11*Inputs!$B$16</x:f>
        <x:v>0</x:v>
      </x:c>
      <x:c r="K11" s="122" t="n">
        <x:f>E11*(Inputs!$B$17+Inputs!$B$18)</x:f>
        <x:v>0</x:v>
      </x:c>
      <x:c r="L11" s="122" t="n">
        <x:f>SUM(Inputs!$B$20:$B$24)+Inputs!$B$21*Inputs!$B$25</x:f>
        <x:v>5637.7</x:v>
      </x:c>
      <x:c r="M11" s="122" t="n">
        <x:f>H11-SUM(I11:L11)</x:f>
        <x:v>16012.3</x:v>
      </x:c>
      <x:c r="N11" s="122" t="n">
        <x:f>MAX(0,M11)*Inputs!$B$29</x:f>
        <x:v>0</x:v>
      </x:c>
      <x:c r="O11" s="122" t="n">
        <x:f>MAX(0,M11-N11)*Inputs!$B$28</x:f>
        <x:v>3362.5829999999996</x:v>
      </x:c>
      <x:c r="P11" s="122" t="n">
        <x:f>M11-N11-O11</x:f>
        <x:v>12649.717</x:v>
      </x:c>
      <x:c r="Q11" s="146" t="n">
        <x:f>IFERROR(P11/F11,0)</x:f>
        <x:v>0.12649717</x:v>
      </x:c>
      <x:c r="R11" s="122" t="n">
        <x:f>SUM($P$7:P11)</x:f>
        <x:v>63248.58500000001</x:v>
      </x:c>
    </x:row>
    <x:row r="12" ht="25" customHeight="1">
      <x:c r="A12" s="80" t="n">
        <x:v>6</x:v>
      </x:c>
      <x:c r="B12" s="80" t="str">
        <x:v>Month 6</x:v>
      </x:c>
      <x:c r="C12" s="148" t="n">
        <x:f>ROUND(Inputs!$B$7*(1+Inputs!$B$30)^(A12-1),0)</x:f>
        <x:v>50</x:v>
      </x:c>
      <x:c r="D12" s="149" t="n">
        <x:f>Inputs!$B$10*(1+Inputs!$B$31)^(A12-1)</x:f>
        <x:v>20</x:v>
      </x:c>
      <x:c r="E12" s="148" t="n">
        <x:f>C12*Inputs!$B$8*Inputs!$B$9</x:f>
        <x:v>5000</x:v>
      </x:c>
      <x:c r="F12" s="150" t="n">
        <x:f>E12*D12</x:f>
        <x:v>100000</x:v>
      </x:c>
      <x:c r="G12" s="150" t="n">
        <x:f>F12*(1-Inputs!$B$11)</x:f>
        <x:v>75000</x:v>
      </x:c>
      <x:c r="H12" s="150" t="n">
        <x:f>F12*Inputs!$B$11</x:f>
        <x:v>25000</x:v>
      </x:c>
      <x:c r="I12" s="150" t="n">
        <x:f>F12*Inputs!$B$12*Inputs!$B$14+E12*Inputs!$B$12*Inputs!$B$15</x:f>
        <x:v>3350</x:v>
      </x:c>
      <x:c r="J12" s="150" t="n">
        <x:f>E12*Inputs!$B$16</x:f>
        <x:v>0</x:v>
      </x:c>
      <x:c r="K12" s="150" t="n">
        <x:f>E12*(Inputs!$B$17+Inputs!$B$18)</x:f>
        <x:v>0</x:v>
      </x:c>
      <x:c r="L12" s="150" t="n">
        <x:f>SUM(Inputs!$B$20:$B$24)+Inputs!$B$21*Inputs!$B$25</x:f>
        <x:v>5637.7</x:v>
      </x:c>
      <x:c r="M12" s="150" t="n">
        <x:f>H12-SUM(I12:L12)</x:f>
        <x:v>16012.3</x:v>
      </x:c>
      <x:c r="N12" s="150" t="n">
        <x:f>MAX(0,M12)*Inputs!$B$29</x:f>
        <x:v>0</x:v>
      </x:c>
      <x:c r="O12" s="150" t="n">
        <x:f>MAX(0,M12-N12)*Inputs!$B$28</x:f>
        <x:v>3362.5829999999996</x:v>
      </x:c>
      <x:c r="P12" s="150" t="n">
        <x:f>M12-N12-O12</x:f>
        <x:v>12649.717</x:v>
      </x:c>
      <x:c r="Q12" s="151" t="n">
        <x:f>IFERROR(P12/F12,0)</x:f>
        <x:v>0.12649717</x:v>
      </x:c>
      <x:c r="R12" s="150" t="n">
        <x:f>SUM($P$7:P12)</x:f>
        <x:v>75898.30200000001</x:v>
      </x:c>
    </x:row>
    <x:row r="13" ht="25" customHeight="1">
      <x:c r="A13" t="n">
        <x:v>7</x:v>
      </x:c>
      <x:c r="B13" t="str">
        <x:v>Month 7</x:v>
      </x:c>
      <x:c r="C13" s="142" t="n">
        <x:f>ROUND(Inputs!$B$7*(1+Inputs!$B$30)^(A13-1),0)</x:f>
        <x:v>50</x:v>
      </x:c>
      <x:c r="D13" s="144" t="n">
        <x:f>Inputs!$B$10*(1+Inputs!$B$31)^(A13-1)</x:f>
        <x:v>20</x:v>
      </x:c>
      <x:c r="E13" s="142" t="n">
        <x:f>C13*Inputs!$B$8*Inputs!$B$9</x:f>
        <x:v>5000</x:v>
      </x:c>
      <x:c r="F13" s="122" t="n">
        <x:f>E13*D13</x:f>
        <x:v>100000</x:v>
      </x:c>
      <x:c r="G13" s="122" t="n">
        <x:f>F13*(1-Inputs!$B$11)</x:f>
        <x:v>75000</x:v>
      </x:c>
      <x:c r="H13" s="122" t="n">
        <x:f>F13*Inputs!$B$11</x:f>
        <x:v>25000</x:v>
      </x:c>
      <x:c r="I13" s="122" t="n">
        <x:f>F13*Inputs!$B$12*Inputs!$B$14+E13*Inputs!$B$12*Inputs!$B$15</x:f>
        <x:v>3350</x:v>
      </x:c>
      <x:c r="J13" s="122" t="n">
        <x:f>E13*Inputs!$B$16</x:f>
        <x:v>0</x:v>
      </x:c>
      <x:c r="K13" s="122" t="n">
        <x:f>E13*(Inputs!$B$17+Inputs!$B$18)</x:f>
        <x:v>0</x:v>
      </x:c>
      <x:c r="L13" s="122" t="n">
        <x:f>SUM(Inputs!$B$20:$B$24)+Inputs!$B$21*Inputs!$B$25</x:f>
        <x:v>5637.7</x:v>
      </x:c>
      <x:c r="M13" s="122" t="n">
        <x:f>H13-SUM(I13:L13)</x:f>
        <x:v>16012.3</x:v>
      </x:c>
      <x:c r="N13" s="122" t="n">
        <x:f>MAX(0,M13)*Inputs!$B$29</x:f>
        <x:v>0</x:v>
      </x:c>
      <x:c r="O13" s="122" t="n">
        <x:f>MAX(0,M13-N13)*Inputs!$B$28</x:f>
        <x:v>3362.5829999999996</x:v>
      </x:c>
      <x:c r="P13" s="122" t="n">
        <x:f>M13-N13-O13</x:f>
        <x:v>12649.717</x:v>
      </x:c>
      <x:c r="Q13" s="146" t="n">
        <x:f>IFERROR(P13/F13,0)</x:f>
        <x:v>0.12649717</x:v>
      </x:c>
      <x:c r="R13" s="122" t="n">
        <x:f>SUM($P$7:P13)</x:f>
        <x:v>88548.01900000001</x:v>
      </x:c>
    </x:row>
    <x:row r="14" ht="25" customHeight="1">
      <x:c r="A14" s="80" t="n">
        <x:v>8</x:v>
      </x:c>
      <x:c r="B14" s="80" t="str">
        <x:v>Month 8</x:v>
      </x:c>
      <x:c r="C14" s="148" t="n">
        <x:f>ROUND(Inputs!$B$7*(1+Inputs!$B$30)^(A14-1),0)</x:f>
        <x:v>50</x:v>
      </x:c>
      <x:c r="D14" s="149" t="n">
        <x:f>Inputs!$B$10*(1+Inputs!$B$31)^(A14-1)</x:f>
        <x:v>20</x:v>
      </x:c>
      <x:c r="E14" s="148" t="n">
        <x:f>C14*Inputs!$B$8*Inputs!$B$9</x:f>
        <x:v>5000</x:v>
      </x:c>
      <x:c r="F14" s="150" t="n">
        <x:f>E14*D14</x:f>
        <x:v>100000</x:v>
      </x:c>
      <x:c r="G14" s="150" t="n">
        <x:f>F14*(1-Inputs!$B$11)</x:f>
        <x:v>75000</x:v>
      </x:c>
      <x:c r="H14" s="150" t="n">
        <x:f>F14*Inputs!$B$11</x:f>
        <x:v>25000</x:v>
      </x:c>
      <x:c r="I14" s="150" t="n">
        <x:f>F14*Inputs!$B$12*Inputs!$B$14+E14*Inputs!$B$12*Inputs!$B$15</x:f>
        <x:v>3350</x:v>
      </x:c>
      <x:c r="J14" s="150" t="n">
        <x:f>E14*Inputs!$B$16</x:f>
        <x:v>0</x:v>
      </x:c>
      <x:c r="K14" s="150" t="n">
        <x:f>E14*(Inputs!$B$17+Inputs!$B$18)</x:f>
        <x:v>0</x:v>
      </x:c>
      <x:c r="L14" s="150" t="n">
        <x:f>SUM(Inputs!$B$20:$B$24)+Inputs!$B$21*Inputs!$B$25</x:f>
        <x:v>5637.7</x:v>
      </x:c>
      <x:c r="M14" s="150" t="n">
        <x:f>H14-SUM(I14:L14)</x:f>
        <x:v>16012.3</x:v>
      </x:c>
      <x:c r="N14" s="150" t="n">
        <x:f>MAX(0,M14)*Inputs!$B$29</x:f>
        <x:v>0</x:v>
      </x:c>
      <x:c r="O14" s="150" t="n">
        <x:f>MAX(0,M14-N14)*Inputs!$B$28</x:f>
        <x:v>3362.5829999999996</x:v>
      </x:c>
      <x:c r="P14" s="150" t="n">
        <x:f>M14-N14-O14</x:f>
        <x:v>12649.717</x:v>
      </x:c>
      <x:c r="Q14" s="151" t="n">
        <x:f>IFERROR(P14/F14,0)</x:f>
        <x:v>0.12649717</x:v>
      </x:c>
      <x:c r="R14" s="150" t="n">
        <x:f>SUM($P$7:P14)</x:f>
        <x:v>101197.73600000002</x:v>
      </x:c>
    </x:row>
    <x:row r="15" ht="25" customHeight="1">
      <x:c r="A15" t="n">
        <x:v>9</x:v>
      </x:c>
      <x:c r="B15" t="str">
        <x:v>Month 9</x:v>
      </x:c>
      <x:c r="C15" s="142" t="n">
        <x:f>ROUND(Inputs!$B$7*(1+Inputs!$B$30)^(A15-1),0)</x:f>
        <x:v>50</x:v>
      </x:c>
      <x:c r="D15" s="144" t="n">
        <x:f>Inputs!$B$10*(1+Inputs!$B$31)^(A15-1)</x:f>
        <x:v>20</x:v>
      </x:c>
      <x:c r="E15" s="142" t="n">
        <x:f>C15*Inputs!$B$8*Inputs!$B$9</x:f>
        <x:v>5000</x:v>
      </x:c>
      <x:c r="F15" s="122" t="n">
        <x:f>E15*D15</x:f>
        <x:v>100000</x:v>
      </x:c>
      <x:c r="G15" s="122" t="n">
        <x:f>F15*(1-Inputs!$B$11)</x:f>
        <x:v>75000</x:v>
      </x:c>
      <x:c r="H15" s="122" t="n">
        <x:f>F15*Inputs!$B$11</x:f>
        <x:v>25000</x:v>
      </x:c>
      <x:c r="I15" s="122" t="n">
        <x:f>F15*Inputs!$B$12*Inputs!$B$14+E15*Inputs!$B$12*Inputs!$B$15</x:f>
        <x:v>3350</x:v>
      </x:c>
      <x:c r="J15" s="122" t="n">
        <x:f>E15*Inputs!$B$16</x:f>
        <x:v>0</x:v>
      </x:c>
      <x:c r="K15" s="122" t="n">
        <x:f>E15*(Inputs!$B$17+Inputs!$B$18)</x:f>
        <x:v>0</x:v>
      </x:c>
      <x:c r="L15" s="122" t="n">
        <x:f>SUM(Inputs!$B$20:$B$24)+Inputs!$B$21*Inputs!$B$25</x:f>
        <x:v>5637.7</x:v>
      </x:c>
      <x:c r="M15" s="122" t="n">
        <x:f>H15-SUM(I15:L15)</x:f>
        <x:v>16012.3</x:v>
      </x:c>
      <x:c r="N15" s="122" t="n">
        <x:f>MAX(0,M15)*Inputs!$B$29</x:f>
        <x:v>0</x:v>
      </x:c>
      <x:c r="O15" s="122" t="n">
        <x:f>MAX(0,M15-N15)*Inputs!$B$28</x:f>
        <x:v>3362.5829999999996</x:v>
      </x:c>
      <x:c r="P15" s="122" t="n">
        <x:f>M15-N15-O15</x:f>
        <x:v>12649.717</x:v>
      </x:c>
      <x:c r="Q15" s="146" t="n">
        <x:f>IFERROR(P15/F15,0)</x:f>
        <x:v>0.12649717</x:v>
      </x:c>
      <x:c r="R15" s="122" t="n">
        <x:f>SUM($P$7:P15)</x:f>
        <x:v>113847.45300000002</x:v>
      </x:c>
    </x:row>
    <x:row r="16" ht="25" customHeight="1">
      <x:c r="A16" s="80" t="n">
        <x:v>10</x:v>
      </x:c>
      <x:c r="B16" s="80" t="str">
        <x:v>Month 10</x:v>
      </x:c>
      <x:c r="C16" s="148" t="n">
        <x:f>ROUND(Inputs!$B$7*(1+Inputs!$B$30)^(A16-1),0)</x:f>
        <x:v>50</x:v>
      </x:c>
      <x:c r="D16" s="149" t="n">
        <x:f>Inputs!$B$10*(1+Inputs!$B$31)^(A16-1)</x:f>
        <x:v>20</x:v>
      </x:c>
      <x:c r="E16" s="148" t="n">
        <x:f>C16*Inputs!$B$8*Inputs!$B$9</x:f>
        <x:v>5000</x:v>
      </x:c>
      <x:c r="F16" s="150" t="n">
        <x:f>E16*D16</x:f>
        <x:v>100000</x:v>
      </x:c>
      <x:c r="G16" s="150" t="n">
        <x:f>F16*(1-Inputs!$B$11)</x:f>
        <x:v>75000</x:v>
      </x:c>
      <x:c r="H16" s="150" t="n">
        <x:f>F16*Inputs!$B$11</x:f>
        <x:v>25000</x:v>
      </x:c>
      <x:c r="I16" s="150" t="n">
        <x:f>F16*Inputs!$B$12*Inputs!$B$14+E16*Inputs!$B$12*Inputs!$B$15</x:f>
        <x:v>3350</x:v>
      </x:c>
      <x:c r="J16" s="150" t="n">
        <x:f>E16*Inputs!$B$16</x:f>
        <x:v>0</x:v>
      </x:c>
      <x:c r="K16" s="150" t="n">
        <x:f>E16*(Inputs!$B$17+Inputs!$B$18)</x:f>
        <x:v>0</x:v>
      </x:c>
      <x:c r="L16" s="150" t="n">
        <x:f>SUM(Inputs!$B$20:$B$24)+Inputs!$B$21*Inputs!$B$25</x:f>
        <x:v>5637.7</x:v>
      </x:c>
      <x:c r="M16" s="150" t="n">
        <x:f>H16-SUM(I16:L16)</x:f>
        <x:v>16012.3</x:v>
      </x:c>
      <x:c r="N16" s="150" t="n">
        <x:f>MAX(0,M16)*Inputs!$B$29</x:f>
        <x:v>0</x:v>
      </x:c>
      <x:c r="O16" s="150" t="n">
        <x:f>MAX(0,M16-N16)*Inputs!$B$28</x:f>
        <x:v>3362.5829999999996</x:v>
      </x:c>
      <x:c r="P16" s="150" t="n">
        <x:f>M16-N16-O16</x:f>
        <x:v>12649.717</x:v>
      </x:c>
      <x:c r="Q16" s="151" t="n">
        <x:f>IFERROR(P16/F16,0)</x:f>
        <x:v>0.12649717</x:v>
      </x:c>
      <x:c r="R16" s="150" t="n">
        <x:f>SUM($P$7:P16)</x:f>
        <x:v>126497.17000000003</x:v>
      </x:c>
    </x:row>
    <x:row r="17" ht="25" customHeight="1">
      <x:c r="A17" t="n">
        <x:v>11</x:v>
      </x:c>
      <x:c r="B17" t="str">
        <x:v>Month 11</x:v>
      </x:c>
      <x:c r="C17" s="142" t="n">
        <x:f>ROUND(Inputs!$B$7*(1+Inputs!$B$30)^(A17-1),0)</x:f>
        <x:v>50</x:v>
      </x:c>
      <x:c r="D17" s="144" t="n">
        <x:f>Inputs!$B$10*(1+Inputs!$B$31)^(A17-1)</x:f>
        <x:v>20</x:v>
      </x:c>
      <x:c r="E17" s="142" t="n">
        <x:f>C17*Inputs!$B$8*Inputs!$B$9</x:f>
        <x:v>5000</x:v>
      </x:c>
      <x:c r="F17" s="122" t="n">
        <x:f>E17*D17</x:f>
        <x:v>100000</x:v>
      </x:c>
      <x:c r="G17" s="122" t="n">
        <x:f>F17*(1-Inputs!$B$11)</x:f>
        <x:v>75000</x:v>
      </x:c>
      <x:c r="H17" s="122" t="n">
        <x:f>F17*Inputs!$B$11</x:f>
        <x:v>25000</x:v>
      </x:c>
      <x:c r="I17" s="122" t="n">
        <x:f>F17*Inputs!$B$12*Inputs!$B$14+E17*Inputs!$B$12*Inputs!$B$15</x:f>
        <x:v>3350</x:v>
      </x:c>
      <x:c r="J17" s="122" t="n">
        <x:f>E17*Inputs!$B$16</x:f>
        <x:v>0</x:v>
      </x:c>
      <x:c r="K17" s="122" t="n">
        <x:f>E17*(Inputs!$B$17+Inputs!$B$18)</x:f>
        <x:v>0</x:v>
      </x:c>
      <x:c r="L17" s="122" t="n">
        <x:f>SUM(Inputs!$B$20:$B$24)+Inputs!$B$21*Inputs!$B$25</x:f>
        <x:v>5637.7</x:v>
      </x:c>
      <x:c r="M17" s="122" t="n">
        <x:f>H17-SUM(I17:L17)</x:f>
        <x:v>16012.3</x:v>
      </x:c>
      <x:c r="N17" s="122" t="n">
        <x:f>MAX(0,M17)*Inputs!$B$29</x:f>
        <x:v>0</x:v>
      </x:c>
      <x:c r="O17" s="122" t="n">
        <x:f>MAX(0,M17-N17)*Inputs!$B$28</x:f>
        <x:v>3362.5829999999996</x:v>
      </x:c>
      <x:c r="P17" s="122" t="n">
        <x:f>M17-N17-O17</x:f>
        <x:v>12649.717</x:v>
      </x:c>
      <x:c r="Q17" s="146" t="n">
        <x:f>IFERROR(P17/F17,0)</x:f>
        <x:v>0.12649717</x:v>
      </x:c>
      <x:c r="R17" s="122" t="n">
        <x:f>SUM($P$7:P17)</x:f>
        <x:v>139146.88700000002</x:v>
      </x:c>
    </x:row>
    <x:row r="18" ht="25" customHeight="1">
      <x:c r="A18" s="80" t="n">
        <x:v>12</x:v>
      </x:c>
      <x:c r="B18" s="80" t="str">
        <x:v>Month 12</x:v>
      </x:c>
      <x:c r="C18" s="148" t="n">
        <x:f>ROUND(Inputs!$B$7*(1+Inputs!$B$30)^(A18-1),0)</x:f>
        <x:v>50</x:v>
      </x:c>
      <x:c r="D18" s="149" t="n">
        <x:f>Inputs!$B$10*(1+Inputs!$B$31)^(A18-1)</x:f>
        <x:v>20</x:v>
      </x:c>
      <x:c r="E18" s="148" t="n">
        <x:f>C18*Inputs!$B$8*Inputs!$B$9</x:f>
        <x:v>5000</x:v>
      </x:c>
      <x:c r="F18" s="150" t="n">
        <x:f>E18*D18</x:f>
        <x:v>100000</x:v>
      </x:c>
      <x:c r="G18" s="150" t="n">
        <x:f>F18*(1-Inputs!$B$11)</x:f>
        <x:v>75000</x:v>
      </x:c>
      <x:c r="H18" s="150" t="n">
        <x:f>F18*Inputs!$B$11</x:f>
        <x:v>25000</x:v>
      </x:c>
      <x:c r="I18" s="150" t="n">
        <x:f>F18*Inputs!$B$12*Inputs!$B$14+E18*Inputs!$B$12*Inputs!$B$15</x:f>
        <x:v>3350</x:v>
      </x:c>
      <x:c r="J18" s="150" t="n">
        <x:f>E18*Inputs!$B$16</x:f>
        <x:v>0</x:v>
      </x:c>
      <x:c r="K18" s="150" t="n">
        <x:f>E18*(Inputs!$B$17+Inputs!$B$18)</x:f>
        <x:v>0</x:v>
      </x:c>
      <x:c r="L18" s="150" t="n">
        <x:f>SUM(Inputs!$B$20:$B$24)+Inputs!$B$21*Inputs!$B$25</x:f>
        <x:v>5637.7</x:v>
      </x:c>
      <x:c r="M18" s="150" t="n">
        <x:f>H18-SUM(I18:L18)</x:f>
        <x:v>16012.3</x:v>
      </x:c>
      <x:c r="N18" s="150" t="n">
        <x:f>MAX(0,M18)*Inputs!$B$29</x:f>
        <x:v>0</x:v>
      </x:c>
      <x:c r="O18" s="150" t="n">
        <x:f>MAX(0,M18-N18)*Inputs!$B$28</x:f>
        <x:v>3362.5829999999996</x:v>
      </x:c>
      <x:c r="P18" s="150" t="n">
        <x:f>M18-N18-O18</x:f>
        <x:v>12649.717</x:v>
      </x:c>
      <x:c r="Q18" s="151" t="n">
        <x:f>IFERROR(P18/F18,0)</x:f>
        <x:v>0.12649717</x:v>
      </x:c>
      <x:c r="R18" s="150" t="n">
        <x:f>SUM($P$7:P18)</x:f>
        <x:v>151796.60400000002</x:v>
      </x:c>
    </x:row>
    <x:row r="20" ht="30" customHeight="1">
      <x:c r="A20" s="21" t="str">
        <x:v>YEAR 1 TOTALS</x:v>
      </x:c>
      <x:c r="B20" s="21"/>
      <x:c r="C20" s="156" t="n">
        <x:f>C18</x:f>
        <x:v>50</x:v>
      </x:c>
      <x:c r="D20" s="160" t="n">
        <x:f>D18</x:f>
        <x:v>20</x:v>
      </x:c>
      <x:c r="E20" s="156" t="n">
        <x:f>SUM(E7:E18)</x:f>
        <x:v>60000</x:v>
      </x:c>
      <x:c r="F20" s="158" t="n">
        <x:f>SUM(F7:F18)</x:f>
        <x:v>1200000</x:v>
      </x:c>
      <x:c r="G20" s="158" t="n">
        <x:f>SUM(G7:G18)</x:f>
        <x:v>900000</x:v>
      </x:c>
      <x:c r="H20" s="158" t="n">
        <x:f>SUM(H7:H18)</x:f>
        <x:v>300000</x:v>
      </x:c>
      <x:c r="I20" s="158" t="n">
        <x:f>SUM(I7:I18)</x:f>
        <x:v>40200</x:v>
      </x:c>
      <x:c r="J20" s="158" t="n">
        <x:f>SUM(J7:J18)</x:f>
        <x:v>0</x:v>
      </x:c>
      <x:c r="K20" s="158" t="n">
        <x:f>SUM(K7:K18)</x:f>
        <x:v>0</x:v>
      </x:c>
      <x:c r="L20" s="158" t="n">
        <x:f>SUM(L7:L18)</x:f>
        <x:v>67652.39999999998</x:v>
      </x:c>
      <x:c r="M20" s="158" t="n">
        <x:f>SUM(M7:M18)</x:f>
        <x:v>192147.59999999998</x:v>
      </x:c>
      <x:c r="N20" s="158" t="n">
        <x:f>SUM(N7:N18)</x:f>
        <x:v>0</x:v>
      </x:c>
      <x:c r="O20" s="158" t="n">
        <x:f>SUM(O7:O18)</x:f>
        <x:v>40350.99599999999</x:v>
      </x:c>
      <x:c r="P20" s="158" t="n">
        <x:f>SUM(P7:P18)</x:f>
        <x:v>151796.60400000002</x:v>
      </x:c>
      <x:c r="Q20" s="162" t="n">
        <x:f>IFERROR(P20/F20,0)</x:f>
        <x:v>0.12649717000000002</x:v>
      </x:c>
      <x:c r="R20" s="158" t="n">
        <x:f>R18</x:f>
        <x:v>151796.60400000002</x:v>
      </x:c>
    </x:row>
    <x:row r="22">
      <x:c r="A22" s="9" t="str">
        <x:v>Forecast is a scenario, not a prediction. Month 1 equals the unit economics sheet; fixed costs are held constant during growth.</x:v>
      </x:c>
      <x:c r="B22" s="9"/>
      <x:c r="C22" s="9"/>
      <x:c r="D22" s="9"/>
      <x:c r="E22" s="9"/>
      <x:c r="F22" s="9"/>
      <x:c r="G22" s="9"/>
      <x:c r="H22" s="9"/>
      <x:c r="I22" s="9"/>
      <x:c r="J22" s="9"/>
      <x:c r="K22" s="9"/>
      <x:c r="L22" s="9"/>
      <x:c r="M22" s="9"/>
      <x:c r="N22" s="9"/>
      <x:c r="O22" s="9"/>
      <x:c r="P22" s="9"/>
      <x:c r="Q22" s="9"/>
      <x:c r="R22" s="9"/>
    </x:row>
  </x:sheetData>
  <x:mergeCells>
    <x:mergeCell ref="A1:R2"/>
    <x:mergeCell ref="A3:R3"/>
    <x:mergeCell ref="A20:B20"/>
    <x:mergeCell ref="A22:R2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3" hidden="0" customWidth="1"/>
    <x:col min="3" max="3" width="13"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s>
  <x:sheetData>
    <x:row r="1" ht="23" customHeight="1">
      <x:c r="A1" s="4" t="str">
        <x:v>SCENARIOS &amp; SENSITIVITY   /   SCALE THE BUSINESS</x:v>
      </x:c>
      <x:c r="B1" s="4"/>
      <x:c r="C1" s="4"/>
      <x:c r="D1" s="4"/>
      <x:c r="E1" s="4"/>
      <x:c r="F1" s="4"/>
      <x:c r="G1" s="4"/>
      <x:c r="H1" s="4"/>
      <x:c r="I1" s="4"/>
      <x:c r="J1" s="4"/>
      <x:c r="K1" s="4"/>
    </x:row>
    <x:row r="2" ht="23" customHeight="1">
      <x:c r="A2" s="4"/>
      <x:c r="B2" s="4"/>
      <x:c r="C2" s="4"/>
      <x:c r="D2" s="4"/>
      <x:c r="E2" s="4"/>
      <x:c r="F2" s="4"/>
      <x:c r="G2" s="4"/>
      <x:c r="H2" s="4"/>
      <x:c r="I2" s="4"/>
      <x:c r="J2" s="4"/>
      <x:c r="K2" s="4"/>
    </x:row>
    <x:row r="3" ht="27" customHeight="1">
      <x:c r="A3" s="10" t="str">
        <x:v>Net company earnings after estimated federal and state corporate income taxes • all linked to Inputs</x:v>
      </x:c>
      <x:c r="B3" s="10"/>
      <x:c r="C3" s="10"/>
      <x:c r="D3" s="10"/>
      <x:c r="E3" s="10"/>
      <x:c r="F3" s="10"/>
      <x:c r="G3" s="10"/>
      <x:c r="H3" s="10"/>
      <x:c r="I3" s="10"/>
      <x:c r="J3" s="10"/>
      <x:c r="K3" s="10"/>
    </x:row>
    <x:row r="5" ht="24" customHeight="1">
      <x:c r="A5" s="22" t="str">
        <x:v>01 / WHAT IF YOU HAVE MORE DRIVERS?  (THE REST OF YOUR INPUTS STAY THE SAME)</x:v>
      </x:c>
      <x:c r="B5" s="22"/>
      <x:c r="C5" s="22"/>
      <x:c r="D5" s="22"/>
      <x:c r="E5" s="22"/>
      <x:c r="F5" s="22"/>
      <x:c r="G5" s="22"/>
      <x:c r="H5" s="22"/>
      <x:c r="I5" s="22"/>
      <x:c r="J5" s="22"/>
      <x:c r="K5" s="22"/>
    </x:row>
    <x:row r="7" ht="32" customHeight="1">
      <x:c r="A7" s="140" t="str">
        <x:v>Drivers</x:v>
      </x:c>
      <x:c r="B7" s="140" t="str">
        <x:v>Trips</x:v>
      </x:c>
      <x:c r="C7" s="140" t="str">
        <x:v>Fare volume ($)</x:v>
      </x:c>
      <x:c r="D7" s="140" t="str">
        <x:v>Driver earnings ($)</x:v>
      </x:c>
      <x:c r="E7" s="140" t="str">
        <x:v>Company fee ($)</x:v>
      </x:c>
      <x:c r="F7" s="140" t="str">
        <x:v>Card fees ($)</x:v>
      </x:c>
      <x:c r="G7" s="140" t="str">
        <x:v>Other costs ($)</x:v>
      </x:c>
      <x:c r="H7" s="140" t="str">
        <x:v>Pretax ($)</x:v>
      </x:c>
      <x:c r="I7" s="140" t="str">
        <x:v>Corp tax ($)</x:v>
      </x:c>
      <x:c r="J7" s="140" t="str">
        <x:v>Net profit ($)</x:v>
      </x:c>
      <x:c r="K7" s="140" t="str">
        <x:v>Net / ride ($)</x:v>
      </x:c>
    </x:row>
    <x:row r="8">
      <x:c r="A8" s="148" t="n">
        <x:v>10</x:v>
      </x:c>
      <x:c r="B8" s="148" t="n">
        <x:f>A8*Inputs!$B$8*Inputs!$B$9</x:f>
        <x:v>1000</x:v>
      </x:c>
      <x:c r="C8" s="150" t="n">
        <x:f>B8*Inputs!$B$10</x:f>
        <x:v>20000</x:v>
      </x:c>
      <x:c r="D8" s="150" t="n">
        <x:f>C8*(1-Inputs!$B$11)</x:f>
        <x:v>15000</x:v>
      </x:c>
      <x:c r="E8" s="150" t="n">
        <x:f>C8*Inputs!$B$11</x:f>
        <x:v>5000</x:v>
      </x:c>
      <x:c r="F8" s="150" t="n">
        <x:f>C8*Inputs!$B$12*Inputs!$B$14+B8*Inputs!$B$12*Inputs!$B$15</x:f>
        <x:v>670</x:v>
      </x:c>
      <x:c r="G8" s="150" t="n">
        <x:f>B8*(Inputs!$B$16+Inputs!$B$17+Inputs!$B$18)+SUM(Inputs!$B$20:$B$24)+Inputs!$B$21*Inputs!$B$25</x:f>
        <x:v>5637.7</x:v>
      </x:c>
      <x:c r="H8" s="150" t="n">
        <x:f>E8-F8-G8</x:f>
        <x:v>-1307.6999999999998</x:v>
      </x:c>
      <x:c r="I8" s="150" t="n">
        <x:f>MAX(0,H8)*Inputs!$B$29+MAX(0,H8-MAX(0,H8)*Inputs!$B$29)*Inputs!$B$28</x:f>
        <x:v>0</x:v>
      </x:c>
      <x:c r="J8" s="150" t="n">
        <x:f>H8-I8</x:f>
        <x:v>-1307.6999999999998</x:v>
      </x:c>
      <x:c r="K8" s="149" t="n">
        <x:f>IFERROR(J8/B8,0)</x:f>
        <x:v>-1.3076999999999999</x:v>
      </x:c>
    </x:row>
    <x:row r="9">
      <x:c r="A9" s="142" t="n">
        <x:v>25</x:v>
      </x:c>
      <x:c r="B9" s="142" t="n">
        <x:f>A9*Inputs!$B$8*Inputs!$B$9</x:f>
        <x:v>2500</x:v>
      </x:c>
      <x:c r="C9" s="122" t="n">
        <x:f>B9*Inputs!$B$10</x:f>
        <x:v>50000</x:v>
      </x:c>
      <x:c r="D9" s="122" t="n">
        <x:f>C9*(1-Inputs!$B$11)</x:f>
        <x:v>37500</x:v>
      </x:c>
      <x:c r="E9" s="122" t="n">
        <x:f>C9*Inputs!$B$11</x:f>
        <x:v>12500</x:v>
      </x:c>
      <x:c r="F9" s="122" t="n">
        <x:f>C9*Inputs!$B$12*Inputs!$B$14+B9*Inputs!$B$12*Inputs!$B$15</x:f>
        <x:v>1675</x:v>
      </x:c>
      <x:c r="G9" s="122" t="n">
        <x:f>B9*(Inputs!$B$16+Inputs!$B$17+Inputs!$B$18)+SUM(Inputs!$B$20:$B$24)+Inputs!$B$21*Inputs!$B$25</x:f>
        <x:v>5637.7</x:v>
      </x:c>
      <x:c r="H9" s="122" t="n">
        <x:f>E9-F9-G9</x:f>
        <x:v>5187.3</x:v>
      </x:c>
      <x:c r="I9" s="122" t="n">
        <x:f>MAX(0,H9)*Inputs!$B$29+MAX(0,H9-MAX(0,H9)*Inputs!$B$29)*Inputs!$B$28</x:f>
        <x:v>1089.333</x:v>
      </x:c>
      <x:c r="J9" s="122" t="n">
        <x:f>H9-I9</x:f>
        <x:v>4097.967000000001</x:v>
      </x:c>
      <x:c r="K9" s="144" t="n">
        <x:f>IFERROR(J9/B9,0)</x:f>
        <x:v>1.6391868000000003</x:v>
      </x:c>
    </x:row>
    <x:row r="10">
      <x:c r="A10" s="148" t="n">
        <x:v>50</x:v>
      </x:c>
      <x:c r="B10" s="148" t="n">
        <x:f>A10*Inputs!$B$8*Inputs!$B$9</x:f>
        <x:v>5000</x:v>
      </x:c>
      <x:c r="C10" s="150" t="n">
        <x:f>B10*Inputs!$B$10</x:f>
        <x:v>100000</x:v>
      </x:c>
      <x:c r="D10" s="150" t="n">
        <x:f>C10*(1-Inputs!$B$11)</x:f>
        <x:v>75000</x:v>
      </x:c>
      <x:c r="E10" s="150" t="n">
        <x:f>C10*Inputs!$B$11</x:f>
        <x:v>25000</x:v>
      </x:c>
      <x:c r="F10" s="150" t="n">
        <x:f>C10*Inputs!$B$12*Inputs!$B$14+B10*Inputs!$B$12*Inputs!$B$15</x:f>
        <x:v>3350</x:v>
      </x:c>
      <x:c r="G10" s="150" t="n">
        <x:f>B10*(Inputs!$B$16+Inputs!$B$17+Inputs!$B$18)+SUM(Inputs!$B$20:$B$24)+Inputs!$B$21*Inputs!$B$25</x:f>
        <x:v>5637.7</x:v>
      </x:c>
      <x:c r="H10" s="150" t="n">
        <x:f>E10-F10-G10</x:f>
        <x:v>16012.3</x:v>
      </x:c>
      <x:c r="I10" s="150" t="n">
        <x:f>MAX(0,H10)*Inputs!$B$29+MAX(0,H10-MAX(0,H10)*Inputs!$B$29)*Inputs!$B$28</x:f>
        <x:v>3362.5829999999996</x:v>
      </x:c>
      <x:c r="J10" s="150" t="n">
        <x:f>H10-I10</x:f>
        <x:v>12649.717</x:v>
      </x:c>
      <x:c r="K10" s="149" t="n">
        <x:f>IFERROR(J10/B10,0)</x:f>
        <x:v>2.5299434</x:v>
      </x:c>
    </x:row>
    <x:row r="11">
      <x:c r="A11" s="142" t="n">
        <x:v>75</x:v>
      </x:c>
      <x:c r="B11" s="142" t="n">
        <x:f>A11*Inputs!$B$8*Inputs!$B$9</x:f>
        <x:v>7500</x:v>
      </x:c>
      <x:c r="C11" s="122" t="n">
        <x:f>B11*Inputs!$B$10</x:f>
        <x:v>150000</x:v>
      </x:c>
      <x:c r="D11" s="122" t="n">
        <x:f>C11*(1-Inputs!$B$11)</x:f>
        <x:v>112500</x:v>
      </x:c>
      <x:c r="E11" s="122" t="n">
        <x:f>C11*Inputs!$B$11</x:f>
        <x:v>37500</x:v>
      </x:c>
      <x:c r="F11" s="122" t="n">
        <x:f>C11*Inputs!$B$12*Inputs!$B$14+B11*Inputs!$B$12*Inputs!$B$15</x:f>
        <x:v>5025</x:v>
      </x:c>
      <x:c r="G11" s="122" t="n">
        <x:f>B11*(Inputs!$B$16+Inputs!$B$17+Inputs!$B$18)+SUM(Inputs!$B$20:$B$24)+Inputs!$B$21*Inputs!$B$25</x:f>
        <x:v>5637.7</x:v>
      </x:c>
      <x:c r="H11" s="122" t="n">
        <x:f>E11-F11-G11</x:f>
        <x:v>26837.3</x:v>
      </x:c>
      <x:c r="I11" s="122" t="n">
        <x:f>MAX(0,H11)*Inputs!$B$29+MAX(0,H11-MAX(0,H11)*Inputs!$B$29)*Inputs!$B$28</x:f>
        <x:v>5635.833</x:v>
      </x:c>
      <x:c r="J11" s="122" t="n">
        <x:f>H11-I11</x:f>
        <x:v>21201.467</x:v>
      </x:c>
      <x:c r="K11" s="144" t="n">
        <x:f>IFERROR(J11/B11,0)</x:f>
        <x:v>2.8268622666666667</x:v>
      </x:c>
    </x:row>
    <x:row r="12">
      <x:c r="A12" s="148" t="n">
        <x:v>100</x:v>
      </x:c>
      <x:c r="B12" s="148" t="n">
        <x:f>A12*Inputs!$B$8*Inputs!$B$9</x:f>
        <x:v>10000</x:v>
      </x:c>
      <x:c r="C12" s="150" t="n">
        <x:f>B12*Inputs!$B$10</x:f>
        <x:v>200000</x:v>
      </x:c>
      <x:c r="D12" s="150" t="n">
        <x:f>C12*(1-Inputs!$B$11)</x:f>
        <x:v>150000</x:v>
      </x:c>
      <x:c r="E12" s="150" t="n">
        <x:f>C12*Inputs!$B$11</x:f>
        <x:v>50000</x:v>
      </x:c>
      <x:c r="F12" s="150" t="n">
        <x:f>C12*Inputs!$B$12*Inputs!$B$14+B12*Inputs!$B$12*Inputs!$B$15</x:f>
        <x:v>6700</x:v>
      </x:c>
      <x:c r="G12" s="150" t="n">
        <x:f>B12*(Inputs!$B$16+Inputs!$B$17+Inputs!$B$18)+SUM(Inputs!$B$20:$B$24)+Inputs!$B$21*Inputs!$B$25</x:f>
        <x:v>5637.7</x:v>
      </x:c>
      <x:c r="H12" s="150" t="n">
        <x:f>E12-F12-G12</x:f>
        <x:v>37662.3</x:v>
      </x:c>
      <x:c r="I12" s="150" t="n">
        <x:f>MAX(0,H12)*Inputs!$B$29+MAX(0,H12-MAX(0,H12)*Inputs!$B$29)*Inputs!$B$28</x:f>
        <x:v>7909.0830000000005</x:v>
      </x:c>
      <x:c r="J12" s="150" t="n">
        <x:f>H12-I12</x:f>
        <x:v>29753.217000000004</x:v>
      </x:c>
      <x:c r="K12" s="149" t="n">
        <x:f>IFERROR(J12/B12,0)</x:f>
        <x:v>2.9753217000000003</x:v>
      </x:c>
    </x:row>
    <x:row r="13">
      <x:c r="A13" s="142" t="n">
        <x:v>150</x:v>
      </x:c>
      <x:c r="B13" s="142" t="n">
        <x:f>A13*Inputs!$B$8*Inputs!$B$9</x:f>
        <x:v>15000</x:v>
      </x:c>
      <x:c r="C13" s="122" t="n">
        <x:f>B13*Inputs!$B$10</x:f>
        <x:v>300000</x:v>
      </x:c>
      <x:c r="D13" s="122" t="n">
        <x:f>C13*(1-Inputs!$B$11)</x:f>
        <x:v>225000</x:v>
      </x:c>
      <x:c r="E13" s="122" t="n">
        <x:f>C13*Inputs!$B$11</x:f>
        <x:v>75000</x:v>
      </x:c>
      <x:c r="F13" s="122" t="n">
        <x:f>C13*Inputs!$B$12*Inputs!$B$14+B13*Inputs!$B$12*Inputs!$B$15</x:f>
        <x:v>10050</x:v>
      </x:c>
      <x:c r="G13" s="122" t="n">
        <x:f>B13*(Inputs!$B$16+Inputs!$B$17+Inputs!$B$18)+SUM(Inputs!$B$20:$B$24)+Inputs!$B$21*Inputs!$B$25</x:f>
        <x:v>5637.7</x:v>
      </x:c>
      <x:c r="H13" s="122" t="n">
        <x:f>E13-F13-G13</x:f>
        <x:v>59312.3</x:v>
      </x:c>
      <x:c r="I13" s="122" t="n">
        <x:f>MAX(0,H13)*Inputs!$B$29+MAX(0,H13-MAX(0,H13)*Inputs!$B$29)*Inputs!$B$28</x:f>
        <x:v>12455.583</x:v>
      </x:c>
      <x:c r="J13" s="122" t="n">
        <x:f>H13-I13</x:f>
        <x:v>46856.717000000004</x:v>
      </x:c>
      <x:c r="K13" s="144" t="n">
        <x:f>IFERROR(J13/B13,0)</x:f>
        <x:v>3.1237811333333334</x:v>
      </x:c>
    </x:row>
    <x:row r="14">
      <x:c r="A14" s="148" t="n">
        <x:v>200</x:v>
      </x:c>
      <x:c r="B14" s="148" t="n">
        <x:f>A14*Inputs!$B$8*Inputs!$B$9</x:f>
        <x:v>20000</x:v>
      </x:c>
      <x:c r="C14" s="150" t="n">
        <x:f>B14*Inputs!$B$10</x:f>
        <x:v>400000</x:v>
      </x:c>
      <x:c r="D14" s="150" t="n">
        <x:f>C14*(1-Inputs!$B$11)</x:f>
        <x:v>300000</x:v>
      </x:c>
      <x:c r="E14" s="150" t="n">
        <x:f>C14*Inputs!$B$11</x:f>
        <x:v>100000</x:v>
      </x:c>
      <x:c r="F14" s="150" t="n">
        <x:f>C14*Inputs!$B$12*Inputs!$B$14+B14*Inputs!$B$12*Inputs!$B$15</x:f>
        <x:v>13400</x:v>
      </x:c>
      <x:c r="G14" s="150" t="n">
        <x:f>B14*(Inputs!$B$16+Inputs!$B$17+Inputs!$B$18)+SUM(Inputs!$B$20:$B$24)+Inputs!$B$21*Inputs!$B$25</x:f>
        <x:v>5637.7</x:v>
      </x:c>
      <x:c r="H14" s="150" t="n">
        <x:f>E14-F14-G14</x:f>
        <x:v>80962.3</x:v>
      </x:c>
      <x:c r="I14" s="150" t="n">
        <x:f>MAX(0,H14)*Inputs!$B$29+MAX(0,H14-MAX(0,H14)*Inputs!$B$29)*Inputs!$B$28</x:f>
        <x:v>17002.083</x:v>
      </x:c>
      <x:c r="J14" s="150" t="n">
        <x:f>H14-I14</x:f>
        <x:v>63960.217000000004</x:v>
      </x:c>
      <x:c r="K14" s="149" t="n">
        <x:f>IFERROR(J14/B14,0)</x:f>
        <x:v>3.19801085</x:v>
      </x:c>
    </x:row>
    <x:row r="15">
      <x:c r="A15" s="142" t="n">
        <x:v>300</x:v>
      </x:c>
      <x:c r="B15" s="142" t="n">
        <x:f>A15*Inputs!$B$8*Inputs!$B$9</x:f>
        <x:v>30000</x:v>
      </x:c>
      <x:c r="C15" s="122" t="n">
        <x:f>B15*Inputs!$B$10</x:f>
        <x:v>600000</x:v>
      </x:c>
      <x:c r="D15" s="122" t="n">
        <x:f>C15*(1-Inputs!$B$11)</x:f>
        <x:v>450000</x:v>
      </x:c>
      <x:c r="E15" s="122" t="n">
        <x:f>C15*Inputs!$B$11</x:f>
        <x:v>150000</x:v>
      </x:c>
      <x:c r="F15" s="122" t="n">
        <x:f>C15*Inputs!$B$12*Inputs!$B$14+B15*Inputs!$B$12*Inputs!$B$15</x:f>
        <x:v>20100</x:v>
      </x:c>
      <x:c r="G15" s="122" t="n">
        <x:f>B15*(Inputs!$B$16+Inputs!$B$17+Inputs!$B$18)+SUM(Inputs!$B$20:$B$24)+Inputs!$B$21*Inputs!$B$25</x:f>
        <x:v>5637.7</x:v>
      </x:c>
      <x:c r="H15" s="122" t="n">
        <x:f>E15-F15-G15</x:f>
        <x:v>124262.3</x:v>
      </x:c>
      <x:c r="I15" s="122" t="n">
        <x:f>MAX(0,H15)*Inputs!$B$29+MAX(0,H15-MAX(0,H15)*Inputs!$B$29)*Inputs!$B$28</x:f>
        <x:v>26095.083</x:v>
      </x:c>
      <x:c r="J15" s="122" t="n">
        <x:f>H15-I15</x:f>
        <x:v>98167.217</x:v>
      </x:c>
      <x:c r="K15" s="144" t="n">
        <x:f>IFERROR(J15/B15,0)</x:f>
        <x:v>3.272240566666667</x:v>
      </x:c>
    </x:row>
    <x:row r="16">
      <x:c r="A16" s="148" t="n">
        <x:v>500</x:v>
      </x:c>
      <x:c r="B16" s="148" t="n">
        <x:f>A16*Inputs!$B$8*Inputs!$B$9</x:f>
        <x:v>50000</x:v>
      </x:c>
      <x:c r="C16" s="150" t="n">
        <x:f>B16*Inputs!$B$10</x:f>
        <x:v>1000000</x:v>
      </x:c>
      <x:c r="D16" s="150" t="n">
        <x:f>C16*(1-Inputs!$B$11)</x:f>
        <x:v>750000</x:v>
      </x:c>
      <x:c r="E16" s="150" t="n">
        <x:f>C16*Inputs!$B$11</x:f>
        <x:v>250000</x:v>
      </x:c>
      <x:c r="F16" s="150" t="n">
        <x:f>C16*Inputs!$B$12*Inputs!$B$14+B16*Inputs!$B$12*Inputs!$B$15</x:f>
        <x:v>33500</x:v>
      </x:c>
      <x:c r="G16" s="150" t="n">
        <x:f>B16*(Inputs!$B$16+Inputs!$B$17+Inputs!$B$18)+SUM(Inputs!$B$20:$B$24)+Inputs!$B$21*Inputs!$B$25</x:f>
        <x:v>5637.7</x:v>
      </x:c>
      <x:c r="H16" s="150" t="n">
        <x:f>E16-F16-G16</x:f>
        <x:v>210862.3</x:v>
      </x:c>
      <x:c r="I16" s="150" t="n">
        <x:f>MAX(0,H16)*Inputs!$B$29+MAX(0,H16-MAX(0,H16)*Inputs!$B$29)*Inputs!$B$28</x:f>
        <x:v>44281.083</x:v>
      </x:c>
      <x:c r="J16" s="150" t="n">
        <x:f>H16-I16</x:f>
        <x:v>166581.217</x:v>
      </x:c>
      <x:c r="K16" s="149" t="n">
        <x:f>IFERROR(J16/B16,0)</x:f>
        <x:v>3.3316243400000003</x:v>
      </x:c>
    </x:row>
    <x:row r="19" ht="24" customHeight="1">
      <x:c r="A19" s="22" t="str">
        <x:v>02 / TAKE-RATE VS DRIVER COUNT  /  ESTIMATED MONTHLY NET PROFIT ($)</x:v>
      </x:c>
      <x:c r="B19" s="22"/>
      <x:c r="C19" s="22"/>
      <x:c r="D19" s="22"/>
      <x:c r="E19" s="22"/>
      <x:c r="F19" s="22"/>
      <x:c r="G19" s="22"/>
      <x:c r="H19" s="22"/>
      <x:c r="I19" s="22"/>
      <x:c r="J19" s="22"/>
      <x:c r="K19" s="22"/>
    </x:row>
    <x:row r="21">
      <x:c r="A21" s="165" t="str">
        <x:v>DRIVERS ↓    COMMISSION →</x:v>
      </x:c>
    </x:row>
    <x:row r="22">
      <x:c r="A22" s="165"/>
      <x:c r="B22" s="168" t="n">
        <x:v>0.1</x:v>
      </x:c>
      <x:c r="C22" s="168" t="n">
        <x:v>0.15</x:v>
      </x:c>
      <x:c r="D22" s="168" t="n">
        <x:v>0.2</x:v>
      </x:c>
      <x:c r="E22" s="168" t="n">
        <x:v>0.25</x:v>
      </x:c>
      <x:c r="F22" s="168" t="n">
        <x:v>0.3</x:v>
      </x:c>
      <x:c r="G22" s="168" t="n">
        <x:v>0.35</x:v>
      </x:c>
      <x:c r="H22" s="168" t="n">
        <x:v>0.4</x:v>
      </x:c>
    </x:row>
    <x:row r="23">
      <x:c r="A23" s="142" t="n">
        <x:f>ROUND(Inputs!$B$7*0.25,0)</x:f>
        <x:v>13</x:v>
      </x:c>
      <x:c r="B23" s="122" t="n">
        <x:f>((($A23*Inputs!$B$8*Inputs!$B$9*Inputs!$B$10)*B$22)-(($A23*Inputs!$B$8*Inputs!$B$9*Inputs!$B$10)*Inputs!$B$12*Inputs!$B$14+($A23*Inputs!$B$8*Inputs!$B$9)*Inputs!$B$12*Inputs!$B$15)-(($A23*Inputs!$B$8*Inputs!$B$9)*(Inputs!$B$16+Inputs!$B$17+Inputs!$B$18)+SUM(Inputs!$B$20:$B$24)+Inputs!$B$21*Inputs!$B$25))-(MAX(0,((($A23*Inputs!$B$8*Inputs!$B$9*Inputs!$B$10)*B$22)-(($A23*Inputs!$B$8*Inputs!$B$9*Inputs!$B$10)*Inputs!$B$12*Inputs!$B$14+($A23*Inputs!$B$8*Inputs!$B$9)*Inputs!$B$12*Inputs!$B$15)-(($A23*Inputs!$B$8*Inputs!$B$9)*(Inputs!$B$16+Inputs!$B$17+Inputs!$B$18)+SUM(Inputs!$B$20:$B$24)+Inputs!$B$21*Inputs!$B$25)))*Inputs!$B$29)-(MAX(0,((($A23*Inputs!$B$8*Inputs!$B$9*Inputs!$B$10)*B$22)-(($A23*Inputs!$B$8*Inputs!$B$9*Inputs!$B$10)*Inputs!$B$12*Inputs!$B$14+($A23*Inputs!$B$8*Inputs!$B$9)*Inputs!$B$12*Inputs!$B$15)-(($A23*Inputs!$B$8*Inputs!$B$9)*(Inputs!$B$16+Inputs!$B$17+Inputs!$B$18)+SUM(Inputs!$B$20:$B$24)+Inputs!$B$21*Inputs!$B$25))-(MAX(0,((($A23*Inputs!$B$8*Inputs!$B$9*Inputs!$B$10)*B$22)-(($A23*Inputs!$B$8*Inputs!$B$9*Inputs!$B$10)*Inputs!$B$12*Inputs!$B$14+($A23*Inputs!$B$8*Inputs!$B$9)*Inputs!$B$12*Inputs!$B$15)-(($A23*Inputs!$B$8*Inputs!$B$9)*(Inputs!$B$16+Inputs!$B$17+Inputs!$B$18)+SUM(Inputs!$B$20:$B$24)+Inputs!$B$21*Inputs!$B$25)))*Inputs!$B$29))*Inputs!$B$28)</x:f>
        <x:v>-3908.7</x:v>
      </x:c>
      <x:c r="C23" s="122" t="n">
        <x:f>((($A23*Inputs!$B$8*Inputs!$B$9*Inputs!$B$10)*C$22)-(($A23*Inputs!$B$8*Inputs!$B$9*Inputs!$B$10)*Inputs!$B$12*Inputs!$B$14+($A23*Inputs!$B$8*Inputs!$B$9)*Inputs!$B$12*Inputs!$B$15)-(($A23*Inputs!$B$8*Inputs!$B$9)*(Inputs!$B$16+Inputs!$B$17+Inputs!$B$18)+SUM(Inputs!$B$20:$B$24)+Inputs!$B$21*Inputs!$B$25))-(MAX(0,((($A23*Inputs!$B$8*Inputs!$B$9*Inputs!$B$10)*C$22)-(($A23*Inputs!$B$8*Inputs!$B$9*Inputs!$B$10)*Inputs!$B$12*Inputs!$B$14+($A23*Inputs!$B$8*Inputs!$B$9)*Inputs!$B$12*Inputs!$B$15)-(($A23*Inputs!$B$8*Inputs!$B$9)*(Inputs!$B$16+Inputs!$B$17+Inputs!$B$18)+SUM(Inputs!$B$20:$B$24)+Inputs!$B$21*Inputs!$B$25)))*Inputs!$B$29)-(MAX(0,((($A23*Inputs!$B$8*Inputs!$B$9*Inputs!$B$10)*C$22)-(($A23*Inputs!$B$8*Inputs!$B$9*Inputs!$B$10)*Inputs!$B$12*Inputs!$B$14+($A23*Inputs!$B$8*Inputs!$B$9)*Inputs!$B$12*Inputs!$B$15)-(($A23*Inputs!$B$8*Inputs!$B$9)*(Inputs!$B$16+Inputs!$B$17+Inputs!$B$18)+SUM(Inputs!$B$20:$B$24)+Inputs!$B$21*Inputs!$B$25))-(MAX(0,((($A23*Inputs!$B$8*Inputs!$B$9*Inputs!$B$10)*C$22)-(($A23*Inputs!$B$8*Inputs!$B$9*Inputs!$B$10)*Inputs!$B$12*Inputs!$B$14+($A23*Inputs!$B$8*Inputs!$B$9)*Inputs!$B$12*Inputs!$B$15)-(($A23*Inputs!$B$8*Inputs!$B$9)*(Inputs!$B$16+Inputs!$B$17+Inputs!$B$18)+SUM(Inputs!$B$20:$B$24)+Inputs!$B$21*Inputs!$B$25)))*Inputs!$B$29))*Inputs!$B$28)</x:f>
        <x:v>-2608.7</x:v>
      </x:c>
      <x:c r="D23" s="122" t="n">
        <x:f>((($A23*Inputs!$B$8*Inputs!$B$9*Inputs!$B$10)*D$22)-(($A23*Inputs!$B$8*Inputs!$B$9*Inputs!$B$10)*Inputs!$B$12*Inputs!$B$14+($A23*Inputs!$B$8*Inputs!$B$9)*Inputs!$B$12*Inputs!$B$15)-(($A23*Inputs!$B$8*Inputs!$B$9)*(Inputs!$B$16+Inputs!$B$17+Inputs!$B$18)+SUM(Inputs!$B$20:$B$24)+Inputs!$B$21*Inputs!$B$25))-(MAX(0,((($A23*Inputs!$B$8*Inputs!$B$9*Inputs!$B$10)*D$22)-(($A23*Inputs!$B$8*Inputs!$B$9*Inputs!$B$10)*Inputs!$B$12*Inputs!$B$14+($A23*Inputs!$B$8*Inputs!$B$9)*Inputs!$B$12*Inputs!$B$15)-(($A23*Inputs!$B$8*Inputs!$B$9)*(Inputs!$B$16+Inputs!$B$17+Inputs!$B$18)+SUM(Inputs!$B$20:$B$24)+Inputs!$B$21*Inputs!$B$25)))*Inputs!$B$29)-(MAX(0,((($A23*Inputs!$B$8*Inputs!$B$9*Inputs!$B$10)*D$22)-(($A23*Inputs!$B$8*Inputs!$B$9*Inputs!$B$10)*Inputs!$B$12*Inputs!$B$14+($A23*Inputs!$B$8*Inputs!$B$9)*Inputs!$B$12*Inputs!$B$15)-(($A23*Inputs!$B$8*Inputs!$B$9)*(Inputs!$B$16+Inputs!$B$17+Inputs!$B$18)+SUM(Inputs!$B$20:$B$24)+Inputs!$B$21*Inputs!$B$25))-(MAX(0,((($A23*Inputs!$B$8*Inputs!$B$9*Inputs!$B$10)*D$22)-(($A23*Inputs!$B$8*Inputs!$B$9*Inputs!$B$10)*Inputs!$B$12*Inputs!$B$14+($A23*Inputs!$B$8*Inputs!$B$9)*Inputs!$B$12*Inputs!$B$15)-(($A23*Inputs!$B$8*Inputs!$B$9)*(Inputs!$B$16+Inputs!$B$17+Inputs!$B$18)+SUM(Inputs!$B$20:$B$24)+Inputs!$B$21*Inputs!$B$25)))*Inputs!$B$29))*Inputs!$B$28)</x:f>
        <x:v>-1308.6999999999998</x:v>
      </x:c>
      <x:c r="E23" s="122" t="n">
        <x:f>((($A23*Inputs!$B$8*Inputs!$B$9*Inputs!$B$10)*E$22)-(($A23*Inputs!$B$8*Inputs!$B$9*Inputs!$B$10)*Inputs!$B$12*Inputs!$B$14+($A23*Inputs!$B$8*Inputs!$B$9)*Inputs!$B$12*Inputs!$B$15)-(($A23*Inputs!$B$8*Inputs!$B$9)*(Inputs!$B$16+Inputs!$B$17+Inputs!$B$18)+SUM(Inputs!$B$20:$B$24)+Inputs!$B$21*Inputs!$B$25))-(MAX(0,((($A23*Inputs!$B$8*Inputs!$B$9*Inputs!$B$10)*E$22)-(($A23*Inputs!$B$8*Inputs!$B$9*Inputs!$B$10)*Inputs!$B$12*Inputs!$B$14+($A23*Inputs!$B$8*Inputs!$B$9)*Inputs!$B$12*Inputs!$B$15)-(($A23*Inputs!$B$8*Inputs!$B$9)*(Inputs!$B$16+Inputs!$B$17+Inputs!$B$18)+SUM(Inputs!$B$20:$B$24)+Inputs!$B$21*Inputs!$B$25)))*Inputs!$B$29)-(MAX(0,((($A23*Inputs!$B$8*Inputs!$B$9*Inputs!$B$10)*E$22)-(($A23*Inputs!$B$8*Inputs!$B$9*Inputs!$B$10)*Inputs!$B$12*Inputs!$B$14+($A23*Inputs!$B$8*Inputs!$B$9)*Inputs!$B$12*Inputs!$B$15)-(($A23*Inputs!$B$8*Inputs!$B$9)*(Inputs!$B$16+Inputs!$B$17+Inputs!$B$18)+SUM(Inputs!$B$20:$B$24)+Inputs!$B$21*Inputs!$B$25))-(MAX(0,((($A23*Inputs!$B$8*Inputs!$B$9*Inputs!$B$10)*E$22)-(($A23*Inputs!$B$8*Inputs!$B$9*Inputs!$B$10)*Inputs!$B$12*Inputs!$B$14+($A23*Inputs!$B$8*Inputs!$B$9)*Inputs!$B$12*Inputs!$B$15)-(($A23*Inputs!$B$8*Inputs!$B$9)*(Inputs!$B$16+Inputs!$B$17+Inputs!$B$18)+SUM(Inputs!$B$20:$B$24)+Inputs!$B$21*Inputs!$B$25)))*Inputs!$B$29))*Inputs!$B$28)</x:f>
        <x:v>-8.699999999999818</x:v>
      </x:c>
      <x:c r="F23" s="122" t="n">
        <x:f>((($A23*Inputs!$B$8*Inputs!$B$9*Inputs!$B$10)*F$22)-(($A23*Inputs!$B$8*Inputs!$B$9*Inputs!$B$10)*Inputs!$B$12*Inputs!$B$14+($A23*Inputs!$B$8*Inputs!$B$9)*Inputs!$B$12*Inputs!$B$15)-(($A23*Inputs!$B$8*Inputs!$B$9)*(Inputs!$B$16+Inputs!$B$17+Inputs!$B$18)+SUM(Inputs!$B$20:$B$24)+Inputs!$B$21*Inputs!$B$25))-(MAX(0,((($A23*Inputs!$B$8*Inputs!$B$9*Inputs!$B$10)*F$22)-(($A23*Inputs!$B$8*Inputs!$B$9*Inputs!$B$10)*Inputs!$B$12*Inputs!$B$14+($A23*Inputs!$B$8*Inputs!$B$9)*Inputs!$B$12*Inputs!$B$15)-(($A23*Inputs!$B$8*Inputs!$B$9)*(Inputs!$B$16+Inputs!$B$17+Inputs!$B$18)+SUM(Inputs!$B$20:$B$24)+Inputs!$B$21*Inputs!$B$25)))*Inputs!$B$29)-(MAX(0,((($A23*Inputs!$B$8*Inputs!$B$9*Inputs!$B$10)*F$22)-(($A23*Inputs!$B$8*Inputs!$B$9*Inputs!$B$10)*Inputs!$B$12*Inputs!$B$14+($A23*Inputs!$B$8*Inputs!$B$9)*Inputs!$B$12*Inputs!$B$15)-(($A23*Inputs!$B$8*Inputs!$B$9)*(Inputs!$B$16+Inputs!$B$17+Inputs!$B$18)+SUM(Inputs!$B$20:$B$24)+Inputs!$B$21*Inputs!$B$25))-(MAX(0,((($A23*Inputs!$B$8*Inputs!$B$9*Inputs!$B$10)*F$22)-(($A23*Inputs!$B$8*Inputs!$B$9*Inputs!$B$10)*Inputs!$B$12*Inputs!$B$14+($A23*Inputs!$B$8*Inputs!$B$9)*Inputs!$B$12*Inputs!$B$15)-(($A23*Inputs!$B$8*Inputs!$B$9)*(Inputs!$B$16+Inputs!$B$17+Inputs!$B$18)+SUM(Inputs!$B$20:$B$24)+Inputs!$B$21*Inputs!$B$25)))*Inputs!$B$29))*Inputs!$B$28)</x:f>
        <x:v>1020.1270000000002</x:v>
      </x:c>
      <x:c r="G23" s="122" t="n">
        <x:f>((($A23*Inputs!$B$8*Inputs!$B$9*Inputs!$B$10)*G$22)-(($A23*Inputs!$B$8*Inputs!$B$9*Inputs!$B$10)*Inputs!$B$12*Inputs!$B$14+($A23*Inputs!$B$8*Inputs!$B$9)*Inputs!$B$12*Inputs!$B$15)-(($A23*Inputs!$B$8*Inputs!$B$9)*(Inputs!$B$16+Inputs!$B$17+Inputs!$B$18)+SUM(Inputs!$B$20:$B$24)+Inputs!$B$21*Inputs!$B$25))-(MAX(0,((($A23*Inputs!$B$8*Inputs!$B$9*Inputs!$B$10)*G$22)-(($A23*Inputs!$B$8*Inputs!$B$9*Inputs!$B$10)*Inputs!$B$12*Inputs!$B$14+($A23*Inputs!$B$8*Inputs!$B$9)*Inputs!$B$12*Inputs!$B$15)-(($A23*Inputs!$B$8*Inputs!$B$9)*(Inputs!$B$16+Inputs!$B$17+Inputs!$B$18)+SUM(Inputs!$B$20:$B$24)+Inputs!$B$21*Inputs!$B$25)))*Inputs!$B$29)-(MAX(0,((($A23*Inputs!$B$8*Inputs!$B$9*Inputs!$B$10)*G$22)-(($A23*Inputs!$B$8*Inputs!$B$9*Inputs!$B$10)*Inputs!$B$12*Inputs!$B$14+($A23*Inputs!$B$8*Inputs!$B$9)*Inputs!$B$12*Inputs!$B$15)-(($A23*Inputs!$B$8*Inputs!$B$9)*(Inputs!$B$16+Inputs!$B$17+Inputs!$B$18)+SUM(Inputs!$B$20:$B$24)+Inputs!$B$21*Inputs!$B$25))-(MAX(0,((($A23*Inputs!$B$8*Inputs!$B$9*Inputs!$B$10)*G$22)-(($A23*Inputs!$B$8*Inputs!$B$9*Inputs!$B$10)*Inputs!$B$12*Inputs!$B$14+($A23*Inputs!$B$8*Inputs!$B$9)*Inputs!$B$12*Inputs!$B$15)-(($A23*Inputs!$B$8*Inputs!$B$9)*(Inputs!$B$16+Inputs!$B$17+Inputs!$B$18)+SUM(Inputs!$B$20:$B$24)+Inputs!$B$21*Inputs!$B$25)))*Inputs!$B$29))*Inputs!$B$28)</x:f>
        <x:v>2047.1270000000002</x:v>
      </x:c>
      <x:c r="H23" s="122" t="n">
        <x:f>((($A23*Inputs!$B$8*Inputs!$B$9*Inputs!$B$10)*H$22)-(($A23*Inputs!$B$8*Inputs!$B$9*Inputs!$B$10)*Inputs!$B$12*Inputs!$B$14+($A23*Inputs!$B$8*Inputs!$B$9)*Inputs!$B$12*Inputs!$B$15)-(($A23*Inputs!$B$8*Inputs!$B$9)*(Inputs!$B$16+Inputs!$B$17+Inputs!$B$18)+SUM(Inputs!$B$20:$B$24)+Inputs!$B$21*Inputs!$B$25))-(MAX(0,((($A23*Inputs!$B$8*Inputs!$B$9*Inputs!$B$10)*H$22)-(($A23*Inputs!$B$8*Inputs!$B$9*Inputs!$B$10)*Inputs!$B$12*Inputs!$B$14+($A23*Inputs!$B$8*Inputs!$B$9)*Inputs!$B$12*Inputs!$B$15)-(($A23*Inputs!$B$8*Inputs!$B$9)*(Inputs!$B$16+Inputs!$B$17+Inputs!$B$18)+SUM(Inputs!$B$20:$B$24)+Inputs!$B$21*Inputs!$B$25)))*Inputs!$B$29)-(MAX(0,((($A23*Inputs!$B$8*Inputs!$B$9*Inputs!$B$10)*H$22)-(($A23*Inputs!$B$8*Inputs!$B$9*Inputs!$B$10)*Inputs!$B$12*Inputs!$B$14+($A23*Inputs!$B$8*Inputs!$B$9)*Inputs!$B$12*Inputs!$B$15)-(($A23*Inputs!$B$8*Inputs!$B$9)*(Inputs!$B$16+Inputs!$B$17+Inputs!$B$18)+SUM(Inputs!$B$20:$B$24)+Inputs!$B$21*Inputs!$B$25))-(MAX(0,((($A23*Inputs!$B$8*Inputs!$B$9*Inputs!$B$10)*H$22)-(($A23*Inputs!$B$8*Inputs!$B$9*Inputs!$B$10)*Inputs!$B$12*Inputs!$B$14+($A23*Inputs!$B$8*Inputs!$B$9)*Inputs!$B$12*Inputs!$B$15)-(($A23*Inputs!$B$8*Inputs!$B$9)*(Inputs!$B$16+Inputs!$B$17+Inputs!$B$18)+SUM(Inputs!$B$20:$B$24)+Inputs!$B$21*Inputs!$B$25)))*Inputs!$B$29))*Inputs!$B$28)</x:f>
        <x:v>3074.1270000000004</x:v>
      </x:c>
    </x:row>
    <x:row r="24">
      <x:c r="A24" s="142" t="n">
        <x:f>ROUND(Inputs!$B$7*0.5,0)</x:f>
        <x:v>25</x:v>
      </x:c>
      <x:c r="B24" s="122" t="n">
        <x:f>((($A24*Inputs!$B$8*Inputs!$B$9*Inputs!$B$10)*B$22)-(($A24*Inputs!$B$8*Inputs!$B$9*Inputs!$B$10)*Inputs!$B$12*Inputs!$B$14+($A24*Inputs!$B$8*Inputs!$B$9)*Inputs!$B$12*Inputs!$B$15)-(($A24*Inputs!$B$8*Inputs!$B$9)*(Inputs!$B$16+Inputs!$B$17+Inputs!$B$18)+SUM(Inputs!$B$20:$B$24)+Inputs!$B$21*Inputs!$B$25))-(MAX(0,((($A24*Inputs!$B$8*Inputs!$B$9*Inputs!$B$10)*B$22)-(($A24*Inputs!$B$8*Inputs!$B$9*Inputs!$B$10)*Inputs!$B$12*Inputs!$B$14+($A24*Inputs!$B$8*Inputs!$B$9)*Inputs!$B$12*Inputs!$B$15)-(($A24*Inputs!$B$8*Inputs!$B$9)*(Inputs!$B$16+Inputs!$B$17+Inputs!$B$18)+SUM(Inputs!$B$20:$B$24)+Inputs!$B$21*Inputs!$B$25)))*Inputs!$B$29)-(MAX(0,((($A24*Inputs!$B$8*Inputs!$B$9*Inputs!$B$10)*B$22)-(($A24*Inputs!$B$8*Inputs!$B$9*Inputs!$B$10)*Inputs!$B$12*Inputs!$B$14+($A24*Inputs!$B$8*Inputs!$B$9)*Inputs!$B$12*Inputs!$B$15)-(($A24*Inputs!$B$8*Inputs!$B$9)*(Inputs!$B$16+Inputs!$B$17+Inputs!$B$18)+SUM(Inputs!$B$20:$B$24)+Inputs!$B$21*Inputs!$B$25))-(MAX(0,((($A24*Inputs!$B$8*Inputs!$B$9*Inputs!$B$10)*B$22)-(($A24*Inputs!$B$8*Inputs!$B$9*Inputs!$B$10)*Inputs!$B$12*Inputs!$B$14+($A24*Inputs!$B$8*Inputs!$B$9)*Inputs!$B$12*Inputs!$B$15)-(($A24*Inputs!$B$8*Inputs!$B$9)*(Inputs!$B$16+Inputs!$B$17+Inputs!$B$18)+SUM(Inputs!$B$20:$B$24)+Inputs!$B$21*Inputs!$B$25)))*Inputs!$B$29))*Inputs!$B$28)</x:f>
        <x:v>-2312.7</x:v>
      </x:c>
      <x:c r="C24" s="122" t="n">
        <x:f>((($A24*Inputs!$B$8*Inputs!$B$9*Inputs!$B$10)*C$22)-(($A24*Inputs!$B$8*Inputs!$B$9*Inputs!$B$10)*Inputs!$B$12*Inputs!$B$14+($A24*Inputs!$B$8*Inputs!$B$9)*Inputs!$B$12*Inputs!$B$15)-(($A24*Inputs!$B$8*Inputs!$B$9)*(Inputs!$B$16+Inputs!$B$17+Inputs!$B$18)+SUM(Inputs!$B$20:$B$24)+Inputs!$B$21*Inputs!$B$25))-(MAX(0,((($A24*Inputs!$B$8*Inputs!$B$9*Inputs!$B$10)*C$22)-(($A24*Inputs!$B$8*Inputs!$B$9*Inputs!$B$10)*Inputs!$B$12*Inputs!$B$14+($A24*Inputs!$B$8*Inputs!$B$9)*Inputs!$B$12*Inputs!$B$15)-(($A24*Inputs!$B$8*Inputs!$B$9)*(Inputs!$B$16+Inputs!$B$17+Inputs!$B$18)+SUM(Inputs!$B$20:$B$24)+Inputs!$B$21*Inputs!$B$25)))*Inputs!$B$29)-(MAX(0,((($A24*Inputs!$B$8*Inputs!$B$9*Inputs!$B$10)*C$22)-(($A24*Inputs!$B$8*Inputs!$B$9*Inputs!$B$10)*Inputs!$B$12*Inputs!$B$14+($A24*Inputs!$B$8*Inputs!$B$9)*Inputs!$B$12*Inputs!$B$15)-(($A24*Inputs!$B$8*Inputs!$B$9)*(Inputs!$B$16+Inputs!$B$17+Inputs!$B$18)+SUM(Inputs!$B$20:$B$24)+Inputs!$B$21*Inputs!$B$25))-(MAX(0,((($A24*Inputs!$B$8*Inputs!$B$9*Inputs!$B$10)*C$22)-(($A24*Inputs!$B$8*Inputs!$B$9*Inputs!$B$10)*Inputs!$B$12*Inputs!$B$14+($A24*Inputs!$B$8*Inputs!$B$9)*Inputs!$B$12*Inputs!$B$15)-(($A24*Inputs!$B$8*Inputs!$B$9)*(Inputs!$B$16+Inputs!$B$17+Inputs!$B$18)+SUM(Inputs!$B$20:$B$24)+Inputs!$B$21*Inputs!$B$25)))*Inputs!$B$29))*Inputs!$B$28)</x:f>
        <x:v>147.96700000000016</x:v>
      </x:c>
      <x:c r="D24" s="122" t="n">
        <x:f>((($A24*Inputs!$B$8*Inputs!$B$9*Inputs!$B$10)*D$22)-(($A24*Inputs!$B$8*Inputs!$B$9*Inputs!$B$10)*Inputs!$B$12*Inputs!$B$14+($A24*Inputs!$B$8*Inputs!$B$9)*Inputs!$B$12*Inputs!$B$15)-(($A24*Inputs!$B$8*Inputs!$B$9)*(Inputs!$B$16+Inputs!$B$17+Inputs!$B$18)+SUM(Inputs!$B$20:$B$24)+Inputs!$B$21*Inputs!$B$25))-(MAX(0,((($A24*Inputs!$B$8*Inputs!$B$9*Inputs!$B$10)*D$22)-(($A24*Inputs!$B$8*Inputs!$B$9*Inputs!$B$10)*Inputs!$B$12*Inputs!$B$14+($A24*Inputs!$B$8*Inputs!$B$9)*Inputs!$B$12*Inputs!$B$15)-(($A24*Inputs!$B$8*Inputs!$B$9)*(Inputs!$B$16+Inputs!$B$17+Inputs!$B$18)+SUM(Inputs!$B$20:$B$24)+Inputs!$B$21*Inputs!$B$25)))*Inputs!$B$29)-(MAX(0,((($A24*Inputs!$B$8*Inputs!$B$9*Inputs!$B$10)*D$22)-(($A24*Inputs!$B$8*Inputs!$B$9*Inputs!$B$10)*Inputs!$B$12*Inputs!$B$14+($A24*Inputs!$B$8*Inputs!$B$9)*Inputs!$B$12*Inputs!$B$15)-(($A24*Inputs!$B$8*Inputs!$B$9)*(Inputs!$B$16+Inputs!$B$17+Inputs!$B$18)+SUM(Inputs!$B$20:$B$24)+Inputs!$B$21*Inputs!$B$25))-(MAX(0,((($A24*Inputs!$B$8*Inputs!$B$9*Inputs!$B$10)*D$22)-(($A24*Inputs!$B$8*Inputs!$B$9*Inputs!$B$10)*Inputs!$B$12*Inputs!$B$14+($A24*Inputs!$B$8*Inputs!$B$9)*Inputs!$B$12*Inputs!$B$15)-(($A24*Inputs!$B$8*Inputs!$B$9)*(Inputs!$B$16+Inputs!$B$17+Inputs!$B$18)+SUM(Inputs!$B$20:$B$24)+Inputs!$B$21*Inputs!$B$25)))*Inputs!$B$29))*Inputs!$B$28)</x:f>
        <x:v>2122.967</x:v>
      </x:c>
      <x:c r="E24" s="122" t="n">
        <x:f>((($A24*Inputs!$B$8*Inputs!$B$9*Inputs!$B$10)*E$22)-(($A24*Inputs!$B$8*Inputs!$B$9*Inputs!$B$10)*Inputs!$B$12*Inputs!$B$14+($A24*Inputs!$B$8*Inputs!$B$9)*Inputs!$B$12*Inputs!$B$15)-(($A24*Inputs!$B$8*Inputs!$B$9)*(Inputs!$B$16+Inputs!$B$17+Inputs!$B$18)+SUM(Inputs!$B$20:$B$24)+Inputs!$B$21*Inputs!$B$25))-(MAX(0,((($A24*Inputs!$B$8*Inputs!$B$9*Inputs!$B$10)*E$22)-(($A24*Inputs!$B$8*Inputs!$B$9*Inputs!$B$10)*Inputs!$B$12*Inputs!$B$14+($A24*Inputs!$B$8*Inputs!$B$9)*Inputs!$B$12*Inputs!$B$15)-(($A24*Inputs!$B$8*Inputs!$B$9)*(Inputs!$B$16+Inputs!$B$17+Inputs!$B$18)+SUM(Inputs!$B$20:$B$24)+Inputs!$B$21*Inputs!$B$25)))*Inputs!$B$29)-(MAX(0,((($A24*Inputs!$B$8*Inputs!$B$9*Inputs!$B$10)*E$22)-(($A24*Inputs!$B$8*Inputs!$B$9*Inputs!$B$10)*Inputs!$B$12*Inputs!$B$14+($A24*Inputs!$B$8*Inputs!$B$9)*Inputs!$B$12*Inputs!$B$15)-(($A24*Inputs!$B$8*Inputs!$B$9)*(Inputs!$B$16+Inputs!$B$17+Inputs!$B$18)+SUM(Inputs!$B$20:$B$24)+Inputs!$B$21*Inputs!$B$25))-(MAX(0,((($A24*Inputs!$B$8*Inputs!$B$9*Inputs!$B$10)*E$22)-(($A24*Inputs!$B$8*Inputs!$B$9*Inputs!$B$10)*Inputs!$B$12*Inputs!$B$14+($A24*Inputs!$B$8*Inputs!$B$9)*Inputs!$B$12*Inputs!$B$15)-(($A24*Inputs!$B$8*Inputs!$B$9)*(Inputs!$B$16+Inputs!$B$17+Inputs!$B$18)+SUM(Inputs!$B$20:$B$24)+Inputs!$B$21*Inputs!$B$25)))*Inputs!$B$29))*Inputs!$B$28)</x:f>
        <x:v>4097.967000000001</x:v>
      </x:c>
      <x:c r="F24" s="122" t="n">
        <x:f>((($A24*Inputs!$B$8*Inputs!$B$9*Inputs!$B$10)*F$22)-(($A24*Inputs!$B$8*Inputs!$B$9*Inputs!$B$10)*Inputs!$B$12*Inputs!$B$14+($A24*Inputs!$B$8*Inputs!$B$9)*Inputs!$B$12*Inputs!$B$15)-(($A24*Inputs!$B$8*Inputs!$B$9)*(Inputs!$B$16+Inputs!$B$17+Inputs!$B$18)+SUM(Inputs!$B$20:$B$24)+Inputs!$B$21*Inputs!$B$25))-(MAX(0,((($A24*Inputs!$B$8*Inputs!$B$9*Inputs!$B$10)*F$22)-(($A24*Inputs!$B$8*Inputs!$B$9*Inputs!$B$10)*Inputs!$B$12*Inputs!$B$14+($A24*Inputs!$B$8*Inputs!$B$9)*Inputs!$B$12*Inputs!$B$15)-(($A24*Inputs!$B$8*Inputs!$B$9)*(Inputs!$B$16+Inputs!$B$17+Inputs!$B$18)+SUM(Inputs!$B$20:$B$24)+Inputs!$B$21*Inputs!$B$25)))*Inputs!$B$29)-(MAX(0,((($A24*Inputs!$B$8*Inputs!$B$9*Inputs!$B$10)*F$22)-(($A24*Inputs!$B$8*Inputs!$B$9*Inputs!$B$10)*Inputs!$B$12*Inputs!$B$14+($A24*Inputs!$B$8*Inputs!$B$9)*Inputs!$B$12*Inputs!$B$15)-(($A24*Inputs!$B$8*Inputs!$B$9)*(Inputs!$B$16+Inputs!$B$17+Inputs!$B$18)+SUM(Inputs!$B$20:$B$24)+Inputs!$B$21*Inputs!$B$25))-(MAX(0,((($A24*Inputs!$B$8*Inputs!$B$9*Inputs!$B$10)*F$22)-(($A24*Inputs!$B$8*Inputs!$B$9*Inputs!$B$10)*Inputs!$B$12*Inputs!$B$14+($A24*Inputs!$B$8*Inputs!$B$9)*Inputs!$B$12*Inputs!$B$15)-(($A24*Inputs!$B$8*Inputs!$B$9)*(Inputs!$B$16+Inputs!$B$17+Inputs!$B$18)+SUM(Inputs!$B$20:$B$24)+Inputs!$B$21*Inputs!$B$25)))*Inputs!$B$29))*Inputs!$B$28)</x:f>
        <x:v>6072.967000000001</x:v>
      </x:c>
      <x:c r="G24" s="122" t="n">
        <x:f>((($A24*Inputs!$B$8*Inputs!$B$9*Inputs!$B$10)*G$22)-(($A24*Inputs!$B$8*Inputs!$B$9*Inputs!$B$10)*Inputs!$B$12*Inputs!$B$14+($A24*Inputs!$B$8*Inputs!$B$9)*Inputs!$B$12*Inputs!$B$15)-(($A24*Inputs!$B$8*Inputs!$B$9)*(Inputs!$B$16+Inputs!$B$17+Inputs!$B$18)+SUM(Inputs!$B$20:$B$24)+Inputs!$B$21*Inputs!$B$25))-(MAX(0,((($A24*Inputs!$B$8*Inputs!$B$9*Inputs!$B$10)*G$22)-(($A24*Inputs!$B$8*Inputs!$B$9*Inputs!$B$10)*Inputs!$B$12*Inputs!$B$14+($A24*Inputs!$B$8*Inputs!$B$9)*Inputs!$B$12*Inputs!$B$15)-(($A24*Inputs!$B$8*Inputs!$B$9)*(Inputs!$B$16+Inputs!$B$17+Inputs!$B$18)+SUM(Inputs!$B$20:$B$24)+Inputs!$B$21*Inputs!$B$25)))*Inputs!$B$29)-(MAX(0,((($A24*Inputs!$B$8*Inputs!$B$9*Inputs!$B$10)*G$22)-(($A24*Inputs!$B$8*Inputs!$B$9*Inputs!$B$10)*Inputs!$B$12*Inputs!$B$14+($A24*Inputs!$B$8*Inputs!$B$9)*Inputs!$B$12*Inputs!$B$15)-(($A24*Inputs!$B$8*Inputs!$B$9)*(Inputs!$B$16+Inputs!$B$17+Inputs!$B$18)+SUM(Inputs!$B$20:$B$24)+Inputs!$B$21*Inputs!$B$25))-(MAX(0,((($A24*Inputs!$B$8*Inputs!$B$9*Inputs!$B$10)*G$22)-(($A24*Inputs!$B$8*Inputs!$B$9*Inputs!$B$10)*Inputs!$B$12*Inputs!$B$14+($A24*Inputs!$B$8*Inputs!$B$9)*Inputs!$B$12*Inputs!$B$15)-(($A24*Inputs!$B$8*Inputs!$B$9)*(Inputs!$B$16+Inputs!$B$17+Inputs!$B$18)+SUM(Inputs!$B$20:$B$24)+Inputs!$B$21*Inputs!$B$25)))*Inputs!$B$29))*Inputs!$B$28)</x:f>
        <x:v>8047.967</x:v>
      </x:c>
      <x:c r="H24" s="122" t="n">
        <x:f>((($A24*Inputs!$B$8*Inputs!$B$9*Inputs!$B$10)*H$22)-(($A24*Inputs!$B$8*Inputs!$B$9*Inputs!$B$10)*Inputs!$B$12*Inputs!$B$14+($A24*Inputs!$B$8*Inputs!$B$9)*Inputs!$B$12*Inputs!$B$15)-(($A24*Inputs!$B$8*Inputs!$B$9)*(Inputs!$B$16+Inputs!$B$17+Inputs!$B$18)+SUM(Inputs!$B$20:$B$24)+Inputs!$B$21*Inputs!$B$25))-(MAX(0,((($A24*Inputs!$B$8*Inputs!$B$9*Inputs!$B$10)*H$22)-(($A24*Inputs!$B$8*Inputs!$B$9*Inputs!$B$10)*Inputs!$B$12*Inputs!$B$14+($A24*Inputs!$B$8*Inputs!$B$9)*Inputs!$B$12*Inputs!$B$15)-(($A24*Inputs!$B$8*Inputs!$B$9)*(Inputs!$B$16+Inputs!$B$17+Inputs!$B$18)+SUM(Inputs!$B$20:$B$24)+Inputs!$B$21*Inputs!$B$25)))*Inputs!$B$29)-(MAX(0,((($A24*Inputs!$B$8*Inputs!$B$9*Inputs!$B$10)*H$22)-(($A24*Inputs!$B$8*Inputs!$B$9*Inputs!$B$10)*Inputs!$B$12*Inputs!$B$14+($A24*Inputs!$B$8*Inputs!$B$9)*Inputs!$B$12*Inputs!$B$15)-(($A24*Inputs!$B$8*Inputs!$B$9)*(Inputs!$B$16+Inputs!$B$17+Inputs!$B$18)+SUM(Inputs!$B$20:$B$24)+Inputs!$B$21*Inputs!$B$25))-(MAX(0,((($A24*Inputs!$B$8*Inputs!$B$9*Inputs!$B$10)*H$22)-(($A24*Inputs!$B$8*Inputs!$B$9*Inputs!$B$10)*Inputs!$B$12*Inputs!$B$14+($A24*Inputs!$B$8*Inputs!$B$9)*Inputs!$B$12*Inputs!$B$15)-(($A24*Inputs!$B$8*Inputs!$B$9)*(Inputs!$B$16+Inputs!$B$17+Inputs!$B$18)+SUM(Inputs!$B$20:$B$24)+Inputs!$B$21*Inputs!$B$25)))*Inputs!$B$29))*Inputs!$B$28)</x:f>
        <x:v>10022.967</x:v>
      </x:c>
    </x:row>
    <x:row r="25">
      <x:c r="A25" s="142" t="n">
        <x:f>ROUND(Inputs!$B$7*0.75,0)</x:f>
        <x:v>38</x:v>
      </x:c>
      <x:c r="B25" s="122" t="n">
        <x:f>((($A25*Inputs!$B$8*Inputs!$B$9*Inputs!$B$10)*B$22)-(($A25*Inputs!$B$8*Inputs!$B$9*Inputs!$B$10)*Inputs!$B$12*Inputs!$B$14+($A25*Inputs!$B$8*Inputs!$B$9)*Inputs!$B$12*Inputs!$B$15)-(($A25*Inputs!$B$8*Inputs!$B$9)*(Inputs!$B$16+Inputs!$B$17+Inputs!$B$18)+SUM(Inputs!$B$20:$B$24)+Inputs!$B$21*Inputs!$B$25))-(MAX(0,((($A25*Inputs!$B$8*Inputs!$B$9*Inputs!$B$10)*B$22)-(($A25*Inputs!$B$8*Inputs!$B$9*Inputs!$B$10)*Inputs!$B$12*Inputs!$B$14+($A25*Inputs!$B$8*Inputs!$B$9)*Inputs!$B$12*Inputs!$B$15)-(($A25*Inputs!$B$8*Inputs!$B$9)*(Inputs!$B$16+Inputs!$B$17+Inputs!$B$18)+SUM(Inputs!$B$20:$B$24)+Inputs!$B$21*Inputs!$B$25)))*Inputs!$B$29)-(MAX(0,((($A25*Inputs!$B$8*Inputs!$B$9*Inputs!$B$10)*B$22)-(($A25*Inputs!$B$8*Inputs!$B$9*Inputs!$B$10)*Inputs!$B$12*Inputs!$B$14+($A25*Inputs!$B$8*Inputs!$B$9)*Inputs!$B$12*Inputs!$B$15)-(($A25*Inputs!$B$8*Inputs!$B$9)*(Inputs!$B$16+Inputs!$B$17+Inputs!$B$18)+SUM(Inputs!$B$20:$B$24)+Inputs!$B$21*Inputs!$B$25))-(MAX(0,((($A25*Inputs!$B$8*Inputs!$B$9*Inputs!$B$10)*B$22)-(($A25*Inputs!$B$8*Inputs!$B$9*Inputs!$B$10)*Inputs!$B$12*Inputs!$B$14+($A25*Inputs!$B$8*Inputs!$B$9)*Inputs!$B$12*Inputs!$B$15)-(($A25*Inputs!$B$8*Inputs!$B$9)*(Inputs!$B$16+Inputs!$B$17+Inputs!$B$18)+SUM(Inputs!$B$20:$B$24)+Inputs!$B$21*Inputs!$B$25)))*Inputs!$B$29))*Inputs!$B$28)</x:f>
        <x:v>-583.6999999999998</x:v>
      </x:c>
      <x:c r="C25" s="122" t="n">
        <x:f>((($A25*Inputs!$B$8*Inputs!$B$9*Inputs!$B$10)*C$22)-(($A25*Inputs!$B$8*Inputs!$B$9*Inputs!$B$10)*Inputs!$B$12*Inputs!$B$14+($A25*Inputs!$B$8*Inputs!$B$9)*Inputs!$B$12*Inputs!$B$15)-(($A25*Inputs!$B$8*Inputs!$B$9)*(Inputs!$B$16+Inputs!$B$17+Inputs!$B$18)+SUM(Inputs!$B$20:$B$24)+Inputs!$B$21*Inputs!$B$25))-(MAX(0,((($A25*Inputs!$B$8*Inputs!$B$9*Inputs!$B$10)*C$22)-(($A25*Inputs!$B$8*Inputs!$B$9*Inputs!$B$10)*Inputs!$B$12*Inputs!$B$14+($A25*Inputs!$B$8*Inputs!$B$9)*Inputs!$B$12*Inputs!$B$15)-(($A25*Inputs!$B$8*Inputs!$B$9)*(Inputs!$B$16+Inputs!$B$17+Inputs!$B$18)+SUM(Inputs!$B$20:$B$24)+Inputs!$B$21*Inputs!$B$25)))*Inputs!$B$29)-(MAX(0,((($A25*Inputs!$B$8*Inputs!$B$9*Inputs!$B$10)*C$22)-(($A25*Inputs!$B$8*Inputs!$B$9*Inputs!$B$10)*Inputs!$B$12*Inputs!$B$14+($A25*Inputs!$B$8*Inputs!$B$9)*Inputs!$B$12*Inputs!$B$15)-(($A25*Inputs!$B$8*Inputs!$B$9)*(Inputs!$B$16+Inputs!$B$17+Inputs!$B$18)+SUM(Inputs!$B$20:$B$24)+Inputs!$B$21*Inputs!$B$25))-(MAX(0,((($A25*Inputs!$B$8*Inputs!$B$9*Inputs!$B$10)*C$22)-(($A25*Inputs!$B$8*Inputs!$B$9*Inputs!$B$10)*Inputs!$B$12*Inputs!$B$14+($A25*Inputs!$B$8*Inputs!$B$9)*Inputs!$B$12*Inputs!$B$15)-(($A25*Inputs!$B$8*Inputs!$B$9)*(Inputs!$B$16+Inputs!$B$17+Inputs!$B$18)+SUM(Inputs!$B$20:$B$24)+Inputs!$B$21*Inputs!$B$25)))*Inputs!$B$29))*Inputs!$B$28)</x:f>
        <x:v>2540.8770000000004</x:v>
      </x:c>
      <x:c r="D25" s="122" t="n">
        <x:f>((($A25*Inputs!$B$8*Inputs!$B$9*Inputs!$B$10)*D$22)-(($A25*Inputs!$B$8*Inputs!$B$9*Inputs!$B$10)*Inputs!$B$12*Inputs!$B$14+($A25*Inputs!$B$8*Inputs!$B$9)*Inputs!$B$12*Inputs!$B$15)-(($A25*Inputs!$B$8*Inputs!$B$9)*(Inputs!$B$16+Inputs!$B$17+Inputs!$B$18)+SUM(Inputs!$B$20:$B$24)+Inputs!$B$21*Inputs!$B$25))-(MAX(0,((($A25*Inputs!$B$8*Inputs!$B$9*Inputs!$B$10)*D$22)-(($A25*Inputs!$B$8*Inputs!$B$9*Inputs!$B$10)*Inputs!$B$12*Inputs!$B$14+($A25*Inputs!$B$8*Inputs!$B$9)*Inputs!$B$12*Inputs!$B$15)-(($A25*Inputs!$B$8*Inputs!$B$9)*(Inputs!$B$16+Inputs!$B$17+Inputs!$B$18)+SUM(Inputs!$B$20:$B$24)+Inputs!$B$21*Inputs!$B$25)))*Inputs!$B$29)-(MAX(0,((($A25*Inputs!$B$8*Inputs!$B$9*Inputs!$B$10)*D$22)-(($A25*Inputs!$B$8*Inputs!$B$9*Inputs!$B$10)*Inputs!$B$12*Inputs!$B$14+($A25*Inputs!$B$8*Inputs!$B$9)*Inputs!$B$12*Inputs!$B$15)-(($A25*Inputs!$B$8*Inputs!$B$9)*(Inputs!$B$16+Inputs!$B$17+Inputs!$B$18)+SUM(Inputs!$B$20:$B$24)+Inputs!$B$21*Inputs!$B$25))-(MAX(0,((($A25*Inputs!$B$8*Inputs!$B$9*Inputs!$B$10)*D$22)-(($A25*Inputs!$B$8*Inputs!$B$9*Inputs!$B$10)*Inputs!$B$12*Inputs!$B$14+($A25*Inputs!$B$8*Inputs!$B$9)*Inputs!$B$12*Inputs!$B$15)-(($A25*Inputs!$B$8*Inputs!$B$9)*(Inputs!$B$16+Inputs!$B$17+Inputs!$B$18)+SUM(Inputs!$B$20:$B$24)+Inputs!$B$21*Inputs!$B$25)))*Inputs!$B$29))*Inputs!$B$28)</x:f>
        <x:v>5542.877</x:v>
      </x:c>
      <x:c r="E25" s="122" t="n">
        <x:f>((($A25*Inputs!$B$8*Inputs!$B$9*Inputs!$B$10)*E$22)-(($A25*Inputs!$B$8*Inputs!$B$9*Inputs!$B$10)*Inputs!$B$12*Inputs!$B$14+($A25*Inputs!$B$8*Inputs!$B$9)*Inputs!$B$12*Inputs!$B$15)-(($A25*Inputs!$B$8*Inputs!$B$9)*(Inputs!$B$16+Inputs!$B$17+Inputs!$B$18)+SUM(Inputs!$B$20:$B$24)+Inputs!$B$21*Inputs!$B$25))-(MAX(0,((($A25*Inputs!$B$8*Inputs!$B$9*Inputs!$B$10)*E$22)-(($A25*Inputs!$B$8*Inputs!$B$9*Inputs!$B$10)*Inputs!$B$12*Inputs!$B$14+($A25*Inputs!$B$8*Inputs!$B$9)*Inputs!$B$12*Inputs!$B$15)-(($A25*Inputs!$B$8*Inputs!$B$9)*(Inputs!$B$16+Inputs!$B$17+Inputs!$B$18)+SUM(Inputs!$B$20:$B$24)+Inputs!$B$21*Inputs!$B$25)))*Inputs!$B$29)-(MAX(0,((($A25*Inputs!$B$8*Inputs!$B$9*Inputs!$B$10)*E$22)-(($A25*Inputs!$B$8*Inputs!$B$9*Inputs!$B$10)*Inputs!$B$12*Inputs!$B$14+($A25*Inputs!$B$8*Inputs!$B$9)*Inputs!$B$12*Inputs!$B$15)-(($A25*Inputs!$B$8*Inputs!$B$9)*(Inputs!$B$16+Inputs!$B$17+Inputs!$B$18)+SUM(Inputs!$B$20:$B$24)+Inputs!$B$21*Inputs!$B$25))-(MAX(0,((($A25*Inputs!$B$8*Inputs!$B$9*Inputs!$B$10)*E$22)-(($A25*Inputs!$B$8*Inputs!$B$9*Inputs!$B$10)*Inputs!$B$12*Inputs!$B$14+($A25*Inputs!$B$8*Inputs!$B$9)*Inputs!$B$12*Inputs!$B$15)-(($A25*Inputs!$B$8*Inputs!$B$9)*(Inputs!$B$16+Inputs!$B$17+Inputs!$B$18)+SUM(Inputs!$B$20:$B$24)+Inputs!$B$21*Inputs!$B$25)))*Inputs!$B$29))*Inputs!$B$28)</x:f>
        <x:v>8544.877</x:v>
      </x:c>
      <x:c r="F25" s="122" t="n">
        <x:f>((($A25*Inputs!$B$8*Inputs!$B$9*Inputs!$B$10)*F$22)-(($A25*Inputs!$B$8*Inputs!$B$9*Inputs!$B$10)*Inputs!$B$12*Inputs!$B$14+($A25*Inputs!$B$8*Inputs!$B$9)*Inputs!$B$12*Inputs!$B$15)-(($A25*Inputs!$B$8*Inputs!$B$9)*(Inputs!$B$16+Inputs!$B$17+Inputs!$B$18)+SUM(Inputs!$B$20:$B$24)+Inputs!$B$21*Inputs!$B$25))-(MAX(0,((($A25*Inputs!$B$8*Inputs!$B$9*Inputs!$B$10)*F$22)-(($A25*Inputs!$B$8*Inputs!$B$9*Inputs!$B$10)*Inputs!$B$12*Inputs!$B$14+($A25*Inputs!$B$8*Inputs!$B$9)*Inputs!$B$12*Inputs!$B$15)-(($A25*Inputs!$B$8*Inputs!$B$9)*(Inputs!$B$16+Inputs!$B$17+Inputs!$B$18)+SUM(Inputs!$B$20:$B$24)+Inputs!$B$21*Inputs!$B$25)))*Inputs!$B$29)-(MAX(0,((($A25*Inputs!$B$8*Inputs!$B$9*Inputs!$B$10)*F$22)-(($A25*Inputs!$B$8*Inputs!$B$9*Inputs!$B$10)*Inputs!$B$12*Inputs!$B$14+($A25*Inputs!$B$8*Inputs!$B$9)*Inputs!$B$12*Inputs!$B$15)-(($A25*Inputs!$B$8*Inputs!$B$9)*(Inputs!$B$16+Inputs!$B$17+Inputs!$B$18)+SUM(Inputs!$B$20:$B$24)+Inputs!$B$21*Inputs!$B$25))-(MAX(0,((($A25*Inputs!$B$8*Inputs!$B$9*Inputs!$B$10)*F$22)-(($A25*Inputs!$B$8*Inputs!$B$9*Inputs!$B$10)*Inputs!$B$12*Inputs!$B$14+($A25*Inputs!$B$8*Inputs!$B$9)*Inputs!$B$12*Inputs!$B$15)-(($A25*Inputs!$B$8*Inputs!$B$9)*(Inputs!$B$16+Inputs!$B$17+Inputs!$B$18)+SUM(Inputs!$B$20:$B$24)+Inputs!$B$21*Inputs!$B$25)))*Inputs!$B$29))*Inputs!$B$28)</x:f>
        <x:v>11546.877</x:v>
      </x:c>
      <x:c r="G25" s="122" t="n">
        <x:f>((($A25*Inputs!$B$8*Inputs!$B$9*Inputs!$B$10)*G$22)-(($A25*Inputs!$B$8*Inputs!$B$9*Inputs!$B$10)*Inputs!$B$12*Inputs!$B$14+($A25*Inputs!$B$8*Inputs!$B$9)*Inputs!$B$12*Inputs!$B$15)-(($A25*Inputs!$B$8*Inputs!$B$9)*(Inputs!$B$16+Inputs!$B$17+Inputs!$B$18)+SUM(Inputs!$B$20:$B$24)+Inputs!$B$21*Inputs!$B$25))-(MAX(0,((($A25*Inputs!$B$8*Inputs!$B$9*Inputs!$B$10)*G$22)-(($A25*Inputs!$B$8*Inputs!$B$9*Inputs!$B$10)*Inputs!$B$12*Inputs!$B$14+($A25*Inputs!$B$8*Inputs!$B$9)*Inputs!$B$12*Inputs!$B$15)-(($A25*Inputs!$B$8*Inputs!$B$9)*(Inputs!$B$16+Inputs!$B$17+Inputs!$B$18)+SUM(Inputs!$B$20:$B$24)+Inputs!$B$21*Inputs!$B$25)))*Inputs!$B$29)-(MAX(0,((($A25*Inputs!$B$8*Inputs!$B$9*Inputs!$B$10)*G$22)-(($A25*Inputs!$B$8*Inputs!$B$9*Inputs!$B$10)*Inputs!$B$12*Inputs!$B$14+($A25*Inputs!$B$8*Inputs!$B$9)*Inputs!$B$12*Inputs!$B$15)-(($A25*Inputs!$B$8*Inputs!$B$9)*(Inputs!$B$16+Inputs!$B$17+Inputs!$B$18)+SUM(Inputs!$B$20:$B$24)+Inputs!$B$21*Inputs!$B$25))-(MAX(0,((($A25*Inputs!$B$8*Inputs!$B$9*Inputs!$B$10)*G$22)-(($A25*Inputs!$B$8*Inputs!$B$9*Inputs!$B$10)*Inputs!$B$12*Inputs!$B$14+($A25*Inputs!$B$8*Inputs!$B$9)*Inputs!$B$12*Inputs!$B$15)-(($A25*Inputs!$B$8*Inputs!$B$9)*(Inputs!$B$16+Inputs!$B$17+Inputs!$B$18)+SUM(Inputs!$B$20:$B$24)+Inputs!$B$21*Inputs!$B$25)))*Inputs!$B$29))*Inputs!$B$28)</x:f>
        <x:v>14548.877</x:v>
      </x:c>
      <x:c r="H25" s="122" t="n">
        <x:f>((($A25*Inputs!$B$8*Inputs!$B$9*Inputs!$B$10)*H$22)-(($A25*Inputs!$B$8*Inputs!$B$9*Inputs!$B$10)*Inputs!$B$12*Inputs!$B$14+($A25*Inputs!$B$8*Inputs!$B$9)*Inputs!$B$12*Inputs!$B$15)-(($A25*Inputs!$B$8*Inputs!$B$9)*(Inputs!$B$16+Inputs!$B$17+Inputs!$B$18)+SUM(Inputs!$B$20:$B$24)+Inputs!$B$21*Inputs!$B$25))-(MAX(0,((($A25*Inputs!$B$8*Inputs!$B$9*Inputs!$B$10)*H$22)-(($A25*Inputs!$B$8*Inputs!$B$9*Inputs!$B$10)*Inputs!$B$12*Inputs!$B$14+($A25*Inputs!$B$8*Inputs!$B$9)*Inputs!$B$12*Inputs!$B$15)-(($A25*Inputs!$B$8*Inputs!$B$9)*(Inputs!$B$16+Inputs!$B$17+Inputs!$B$18)+SUM(Inputs!$B$20:$B$24)+Inputs!$B$21*Inputs!$B$25)))*Inputs!$B$29)-(MAX(0,((($A25*Inputs!$B$8*Inputs!$B$9*Inputs!$B$10)*H$22)-(($A25*Inputs!$B$8*Inputs!$B$9*Inputs!$B$10)*Inputs!$B$12*Inputs!$B$14+($A25*Inputs!$B$8*Inputs!$B$9)*Inputs!$B$12*Inputs!$B$15)-(($A25*Inputs!$B$8*Inputs!$B$9)*(Inputs!$B$16+Inputs!$B$17+Inputs!$B$18)+SUM(Inputs!$B$20:$B$24)+Inputs!$B$21*Inputs!$B$25))-(MAX(0,((($A25*Inputs!$B$8*Inputs!$B$9*Inputs!$B$10)*H$22)-(($A25*Inputs!$B$8*Inputs!$B$9*Inputs!$B$10)*Inputs!$B$12*Inputs!$B$14+($A25*Inputs!$B$8*Inputs!$B$9)*Inputs!$B$12*Inputs!$B$15)-(($A25*Inputs!$B$8*Inputs!$B$9)*(Inputs!$B$16+Inputs!$B$17+Inputs!$B$18)+SUM(Inputs!$B$20:$B$24)+Inputs!$B$21*Inputs!$B$25)))*Inputs!$B$29))*Inputs!$B$28)</x:f>
        <x:v>17550.877</x:v>
      </x:c>
    </x:row>
    <x:row r="26">
      <x:c r="A26" s="142" t="n">
        <x:f>ROUND(Inputs!$B$7*1,0)</x:f>
        <x:v>50</x:v>
      </x:c>
      <x:c r="B26" s="122" t="n">
        <x:f>((($A26*Inputs!$B$8*Inputs!$B$9*Inputs!$B$10)*B$22)-(($A26*Inputs!$B$8*Inputs!$B$9*Inputs!$B$10)*Inputs!$B$12*Inputs!$B$14+($A26*Inputs!$B$8*Inputs!$B$9)*Inputs!$B$12*Inputs!$B$15)-(($A26*Inputs!$B$8*Inputs!$B$9)*(Inputs!$B$16+Inputs!$B$17+Inputs!$B$18)+SUM(Inputs!$B$20:$B$24)+Inputs!$B$21*Inputs!$B$25))-(MAX(0,((($A26*Inputs!$B$8*Inputs!$B$9*Inputs!$B$10)*B$22)-(($A26*Inputs!$B$8*Inputs!$B$9*Inputs!$B$10)*Inputs!$B$12*Inputs!$B$14+($A26*Inputs!$B$8*Inputs!$B$9)*Inputs!$B$12*Inputs!$B$15)-(($A26*Inputs!$B$8*Inputs!$B$9)*(Inputs!$B$16+Inputs!$B$17+Inputs!$B$18)+SUM(Inputs!$B$20:$B$24)+Inputs!$B$21*Inputs!$B$25)))*Inputs!$B$29)-(MAX(0,((($A26*Inputs!$B$8*Inputs!$B$9*Inputs!$B$10)*B$22)-(($A26*Inputs!$B$8*Inputs!$B$9*Inputs!$B$10)*Inputs!$B$12*Inputs!$B$14+($A26*Inputs!$B$8*Inputs!$B$9)*Inputs!$B$12*Inputs!$B$15)-(($A26*Inputs!$B$8*Inputs!$B$9)*(Inputs!$B$16+Inputs!$B$17+Inputs!$B$18)+SUM(Inputs!$B$20:$B$24)+Inputs!$B$21*Inputs!$B$25))-(MAX(0,((($A26*Inputs!$B$8*Inputs!$B$9*Inputs!$B$10)*B$22)-(($A26*Inputs!$B$8*Inputs!$B$9*Inputs!$B$10)*Inputs!$B$12*Inputs!$B$14+($A26*Inputs!$B$8*Inputs!$B$9)*Inputs!$B$12*Inputs!$B$15)-(($A26*Inputs!$B$8*Inputs!$B$9)*(Inputs!$B$16+Inputs!$B$17+Inputs!$B$18)+SUM(Inputs!$B$20:$B$24)+Inputs!$B$21*Inputs!$B$25)))*Inputs!$B$29))*Inputs!$B$28)</x:f>
        <x:v>799.7170000000001</x:v>
      </x:c>
      <x:c r="C26" s="122" t="n">
        <x:f>((($A26*Inputs!$B$8*Inputs!$B$9*Inputs!$B$10)*C$22)-(($A26*Inputs!$B$8*Inputs!$B$9*Inputs!$B$10)*Inputs!$B$12*Inputs!$B$14+($A26*Inputs!$B$8*Inputs!$B$9)*Inputs!$B$12*Inputs!$B$15)-(($A26*Inputs!$B$8*Inputs!$B$9)*(Inputs!$B$16+Inputs!$B$17+Inputs!$B$18)+SUM(Inputs!$B$20:$B$24)+Inputs!$B$21*Inputs!$B$25))-(MAX(0,((($A26*Inputs!$B$8*Inputs!$B$9*Inputs!$B$10)*C$22)-(($A26*Inputs!$B$8*Inputs!$B$9*Inputs!$B$10)*Inputs!$B$12*Inputs!$B$14+($A26*Inputs!$B$8*Inputs!$B$9)*Inputs!$B$12*Inputs!$B$15)-(($A26*Inputs!$B$8*Inputs!$B$9)*(Inputs!$B$16+Inputs!$B$17+Inputs!$B$18)+SUM(Inputs!$B$20:$B$24)+Inputs!$B$21*Inputs!$B$25)))*Inputs!$B$29)-(MAX(0,((($A26*Inputs!$B$8*Inputs!$B$9*Inputs!$B$10)*C$22)-(($A26*Inputs!$B$8*Inputs!$B$9*Inputs!$B$10)*Inputs!$B$12*Inputs!$B$14+($A26*Inputs!$B$8*Inputs!$B$9)*Inputs!$B$12*Inputs!$B$15)-(($A26*Inputs!$B$8*Inputs!$B$9)*(Inputs!$B$16+Inputs!$B$17+Inputs!$B$18)+SUM(Inputs!$B$20:$B$24)+Inputs!$B$21*Inputs!$B$25))-(MAX(0,((($A26*Inputs!$B$8*Inputs!$B$9*Inputs!$B$10)*C$22)-(($A26*Inputs!$B$8*Inputs!$B$9*Inputs!$B$10)*Inputs!$B$12*Inputs!$B$14+($A26*Inputs!$B$8*Inputs!$B$9)*Inputs!$B$12*Inputs!$B$15)-(($A26*Inputs!$B$8*Inputs!$B$9)*(Inputs!$B$16+Inputs!$B$17+Inputs!$B$18)+SUM(Inputs!$B$20:$B$24)+Inputs!$B$21*Inputs!$B$25)))*Inputs!$B$29))*Inputs!$B$28)</x:f>
        <x:v>4749.717000000001</x:v>
      </x:c>
      <x:c r="D26" s="122" t="n">
        <x:f>((($A26*Inputs!$B$8*Inputs!$B$9*Inputs!$B$10)*D$22)-(($A26*Inputs!$B$8*Inputs!$B$9*Inputs!$B$10)*Inputs!$B$12*Inputs!$B$14+($A26*Inputs!$B$8*Inputs!$B$9)*Inputs!$B$12*Inputs!$B$15)-(($A26*Inputs!$B$8*Inputs!$B$9)*(Inputs!$B$16+Inputs!$B$17+Inputs!$B$18)+SUM(Inputs!$B$20:$B$24)+Inputs!$B$21*Inputs!$B$25))-(MAX(0,((($A26*Inputs!$B$8*Inputs!$B$9*Inputs!$B$10)*D$22)-(($A26*Inputs!$B$8*Inputs!$B$9*Inputs!$B$10)*Inputs!$B$12*Inputs!$B$14+($A26*Inputs!$B$8*Inputs!$B$9)*Inputs!$B$12*Inputs!$B$15)-(($A26*Inputs!$B$8*Inputs!$B$9)*(Inputs!$B$16+Inputs!$B$17+Inputs!$B$18)+SUM(Inputs!$B$20:$B$24)+Inputs!$B$21*Inputs!$B$25)))*Inputs!$B$29)-(MAX(0,((($A26*Inputs!$B$8*Inputs!$B$9*Inputs!$B$10)*D$22)-(($A26*Inputs!$B$8*Inputs!$B$9*Inputs!$B$10)*Inputs!$B$12*Inputs!$B$14+($A26*Inputs!$B$8*Inputs!$B$9)*Inputs!$B$12*Inputs!$B$15)-(($A26*Inputs!$B$8*Inputs!$B$9)*(Inputs!$B$16+Inputs!$B$17+Inputs!$B$18)+SUM(Inputs!$B$20:$B$24)+Inputs!$B$21*Inputs!$B$25))-(MAX(0,((($A26*Inputs!$B$8*Inputs!$B$9*Inputs!$B$10)*D$22)-(($A26*Inputs!$B$8*Inputs!$B$9*Inputs!$B$10)*Inputs!$B$12*Inputs!$B$14+($A26*Inputs!$B$8*Inputs!$B$9)*Inputs!$B$12*Inputs!$B$15)-(($A26*Inputs!$B$8*Inputs!$B$9)*(Inputs!$B$16+Inputs!$B$17+Inputs!$B$18)+SUM(Inputs!$B$20:$B$24)+Inputs!$B$21*Inputs!$B$25)))*Inputs!$B$29))*Inputs!$B$28)</x:f>
        <x:v>8699.717</x:v>
      </x:c>
      <x:c r="E26" s="122" t="n">
        <x:f>((($A26*Inputs!$B$8*Inputs!$B$9*Inputs!$B$10)*E$22)-(($A26*Inputs!$B$8*Inputs!$B$9*Inputs!$B$10)*Inputs!$B$12*Inputs!$B$14+($A26*Inputs!$B$8*Inputs!$B$9)*Inputs!$B$12*Inputs!$B$15)-(($A26*Inputs!$B$8*Inputs!$B$9)*(Inputs!$B$16+Inputs!$B$17+Inputs!$B$18)+SUM(Inputs!$B$20:$B$24)+Inputs!$B$21*Inputs!$B$25))-(MAX(0,((($A26*Inputs!$B$8*Inputs!$B$9*Inputs!$B$10)*E$22)-(($A26*Inputs!$B$8*Inputs!$B$9*Inputs!$B$10)*Inputs!$B$12*Inputs!$B$14+($A26*Inputs!$B$8*Inputs!$B$9)*Inputs!$B$12*Inputs!$B$15)-(($A26*Inputs!$B$8*Inputs!$B$9)*(Inputs!$B$16+Inputs!$B$17+Inputs!$B$18)+SUM(Inputs!$B$20:$B$24)+Inputs!$B$21*Inputs!$B$25)))*Inputs!$B$29)-(MAX(0,((($A26*Inputs!$B$8*Inputs!$B$9*Inputs!$B$10)*E$22)-(($A26*Inputs!$B$8*Inputs!$B$9*Inputs!$B$10)*Inputs!$B$12*Inputs!$B$14+($A26*Inputs!$B$8*Inputs!$B$9)*Inputs!$B$12*Inputs!$B$15)-(($A26*Inputs!$B$8*Inputs!$B$9)*(Inputs!$B$16+Inputs!$B$17+Inputs!$B$18)+SUM(Inputs!$B$20:$B$24)+Inputs!$B$21*Inputs!$B$25))-(MAX(0,((($A26*Inputs!$B$8*Inputs!$B$9*Inputs!$B$10)*E$22)-(($A26*Inputs!$B$8*Inputs!$B$9*Inputs!$B$10)*Inputs!$B$12*Inputs!$B$14+($A26*Inputs!$B$8*Inputs!$B$9)*Inputs!$B$12*Inputs!$B$15)-(($A26*Inputs!$B$8*Inputs!$B$9)*(Inputs!$B$16+Inputs!$B$17+Inputs!$B$18)+SUM(Inputs!$B$20:$B$24)+Inputs!$B$21*Inputs!$B$25)))*Inputs!$B$29))*Inputs!$B$28)</x:f>
        <x:v>12649.717</x:v>
      </x:c>
      <x:c r="F26" s="122" t="n">
        <x:f>((($A26*Inputs!$B$8*Inputs!$B$9*Inputs!$B$10)*F$22)-(($A26*Inputs!$B$8*Inputs!$B$9*Inputs!$B$10)*Inputs!$B$12*Inputs!$B$14+($A26*Inputs!$B$8*Inputs!$B$9)*Inputs!$B$12*Inputs!$B$15)-(($A26*Inputs!$B$8*Inputs!$B$9)*(Inputs!$B$16+Inputs!$B$17+Inputs!$B$18)+SUM(Inputs!$B$20:$B$24)+Inputs!$B$21*Inputs!$B$25))-(MAX(0,((($A26*Inputs!$B$8*Inputs!$B$9*Inputs!$B$10)*F$22)-(($A26*Inputs!$B$8*Inputs!$B$9*Inputs!$B$10)*Inputs!$B$12*Inputs!$B$14+($A26*Inputs!$B$8*Inputs!$B$9)*Inputs!$B$12*Inputs!$B$15)-(($A26*Inputs!$B$8*Inputs!$B$9)*(Inputs!$B$16+Inputs!$B$17+Inputs!$B$18)+SUM(Inputs!$B$20:$B$24)+Inputs!$B$21*Inputs!$B$25)))*Inputs!$B$29)-(MAX(0,((($A26*Inputs!$B$8*Inputs!$B$9*Inputs!$B$10)*F$22)-(($A26*Inputs!$B$8*Inputs!$B$9*Inputs!$B$10)*Inputs!$B$12*Inputs!$B$14+($A26*Inputs!$B$8*Inputs!$B$9)*Inputs!$B$12*Inputs!$B$15)-(($A26*Inputs!$B$8*Inputs!$B$9)*(Inputs!$B$16+Inputs!$B$17+Inputs!$B$18)+SUM(Inputs!$B$20:$B$24)+Inputs!$B$21*Inputs!$B$25))-(MAX(0,((($A26*Inputs!$B$8*Inputs!$B$9*Inputs!$B$10)*F$22)-(($A26*Inputs!$B$8*Inputs!$B$9*Inputs!$B$10)*Inputs!$B$12*Inputs!$B$14+($A26*Inputs!$B$8*Inputs!$B$9)*Inputs!$B$12*Inputs!$B$15)-(($A26*Inputs!$B$8*Inputs!$B$9)*(Inputs!$B$16+Inputs!$B$17+Inputs!$B$18)+SUM(Inputs!$B$20:$B$24)+Inputs!$B$21*Inputs!$B$25)))*Inputs!$B$29))*Inputs!$B$28)</x:f>
        <x:v>16599.717</x:v>
      </x:c>
      <x:c r="G26" s="122" t="n">
        <x:f>((($A26*Inputs!$B$8*Inputs!$B$9*Inputs!$B$10)*G$22)-(($A26*Inputs!$B$8*Inputs!$B$9*Inputs!$B$10)*Inputs!$B$12*Inputs!$B$14+($A26*Inputs!$B$8*Inputs!$B$9)*Inputs!$B$12*Inputs!$B$15)-(($A26*Inputs!$B$8*Inputs!$B$9)*(Inputs!$B$16+Inputs!$B$17+Inputs!$B$18)+SUM(Inputs!$B$20:$B$24)+Inputs!$B$21*Inputs!$B$25))-(MAX(0,((($A26*Inputs!$B$8*Inputs!$B$9*Inputs!$B$10)*G$22)-(($A26*Inputs!$B$8*Inputs!$B$9*Inputs!$B$10)*Inputs!$B$12*Inputs!$B$14+($A26*Inputs!$B$8*Inputs!$B$9)*Inputs!$B$12*Inputs!$B$15)-(($A26*Inputs!$B$8*Inputs!$B$9)*(Inputs!$B$16+Inputs!$B$17+Inputs!$B$18)+SUM(Inputs!$B$20:$B$24)+Inputs!$B$21*Inputs!$B$25)))*Inputs!$B$29)-(MAX(0,((($A26*Inputs!$B$8*Inputs!$B$9*Inputs!$B$10)*G$22)-(($A26*Inputs!$B$8*Inputs!$B$9*Inputs!$B$10)*Inputs!$B$12*Inputs!$B$14+($A26*Inputs!$B$8*Inputs!$B$9)*Inputs!$B$12*Inputs!$B$15)-(($A26*Inputs!$B$8*Inputs!$B$9)*(Inputs!$B$16+Inputs!$B$17+Inputs!$B$18)+SUM(Inputs!$B$20:$B$24)+Inputs!$B$21*Inputs!$B$25))-(MAX(0,((($A26*Inputs!$B$8*Inputs!$B$9*Inputs!$B$10)*G$22)-(($A26*Inputs!$B$8*Inputs!$B$9*Inputs!$B$10)*Inputs!$B$12*Inputs!$B$14+($A26*Inputs!$B$8*Inputs!$B$9)*Inputs!$B$12*Inputs!$B$15)-(($A26*Inputs!$B$8*Inputs!$B$9)*(Inputs!$B$16+Inputs!$B$17+Inputs!$B$18)+SUM(Inputs!$B$20:$B$24)+Inputs!$B$21*Inputs!$B$25)))*Inputs!$B$29))*Inputs!$B$28)</x:f>
        <x:v>20549.717</x:v>
      </x:c>
      <x:c r="H26" s="122" t="n">
        <x:f>((($A26*Inputs!$B$8*Inputs!$B$9*Inputs!$B$10)*H$22)-(($A26*Inputs!$B$8*Inputs!$B$9*Inputs!$B$10)*Inputs!$B$12*Inputs!$B$14+($A26*Inputs!$B$8*Inputs!$B$9)*Inputs!$B$12*Inputs!$B$15)-(($A26*Inputs!$B$8*Inputs!$B$9)*(Inputs!$B$16+Inputs!$B$17+Inputs!$B$18)+SUM(Inputs!$B$20:$B$24)+Inputs!$B$21*Inputs!$B$25))-(MAX(0,((($A26*Inputs!$B$8*Inputs!$B$9*Inputs!$B$10)*H$22)-(($A26*Inputs!$B$8*Inputs!$B$9*Inputs!$B$10)*Inputs!$B$12*Inputs!$B$14+($A26*Inputs!$B$8*Inputs!$B$9)*Inputs!$B$12*Inputs!$B$15)-(($A26*Inputs!$B$8*Inputs!$B$9)*(Inputs!$B$16+Inputs!$B$17+Inputs!$B$18)+SUM(Inputs!$B$20:$B$24)+Inputs!$B$21*Inputs!$B$25)))*Inputs!$B$29)-(MAX(0,((($A26*Inputs!$B$8*Inputs!$B$9*Inputs!$B$10)*H$22)-(($A26*Inputs!$B$8*Inputs!$B$9*Inputs!$B$10)*Inputs!$B$12*Inputs!$B$14+($A26*Inputs!$B$8*Inputs!$B$9)*Inputs!$B$12*Inputs!$B$15)-(($A26*Inputs!$B$8*Inputs!$B$9)*(Inputs!$B$16+Inputs!$B$17+Inputs!$B$18)+SUM(Inputs!$B$20:$B$24)+Inputs!$B$21*Inputs!$B$25))-(MAX(0,((($A26*Inputs!$B$8*Inputs!$B$9*Inputs!$B$10)*H$22)-(($A26*Inputs!$B$8*Inputs!$B$9*Inputs!$B$10)*Inputs!$B$12*Inputs!$B$14+($A26*Inputs!$B$8*Inputs!$B$9)*Inputs!$B$12*Inputs!$B$15)-(($A26*Inputs!$B$8*Inputs!$B$9)*(Inputs!$B$16+Inputs!$B$17+Inputs!$B$18)+SUM(Inputs!$B$20:$B$24)+Inputs!$B$21*Inputs!$B$25)))*Inputs!$B$29))*Inputs!$B$28)</x:f>
        <x:v>24499.717</x:v>
      </x:c>
    </x:row>
    <x:row r="27">
      <x:c r="A27" s="142" t="n">
        <x:f>ROUND(Inputs!$B$7*1.25,0)</x:f>
        <x:v>63</x:v>
      </x:c>
      <x:c r="B27" s="122" t="n">
        <x:f>((($A27*Inputs!$B$8*Inputs!$B$9*Inputs!$B$10)*B$22)-(($A27*Inputs!$B$8*Inputs!$B$9*Inputs!$B$10)*Inputs!$B$12*Inputs!$B$14+($A27*Inputs!$B$8*Inputs!$B$9)*Inputs!$B$12*Inputs!$B$15)-(($A27*Inputs!$B$8*Inputs!$B$9)*(Inputs!$B$16+Inputs!$B$17+Inputs!$B$18)+SUM(Inputs!$B$20:$B$24)+Inputs!$B$21*Inputs!$B$25))-(MAX(0,((($A27*Inputs!$B$8*Inputs!$B$9*Inputs!$B$10)*B$22)-(($A27*Inputs!$B$8*Inputs!$B$9*Inputs!$B$10)*Inputs!$B$12*Inputs!$B$14+($A27*Inputs!$B$8*Inputs!$B$9)*Inputs!$B$12*Inputs!$B$15)-(($A27*Inputs!$B$8*Inputs!$B$9)*(Inputs!$B$16+Inputs!$B$17+Inputs!$B$18)+SUM(Inputs!$B$20:$B$24)+Inputs!$B$21*Inputs!$B$25)))*Inputs!$B$29)-(MAX(0,((($A27*Inputs!$B$8*Inputs!$B$9*Inputs!$B$10)*B$22)-(($A27*Inputs!$B$8*Inputs!$B$9*Inputs!$B$10)*Inputs!$B$12*Inputs!$B$14+($A27*Inputs!$B$8*Inputs!$B$9)*Inputs!$B$12*Inputs!$B$15)-(($A27*Inputs!$B$8*Inputs!$B$9)*(Inputs!$B$16+Inputs!$B$17+Inputs!$B$18)+SUM(Inputs!$B$20:$B$24)+Inputs!$B$21*Inputs!$B$25))-(MAX(0,((($A27*Inputs!$B$8*Inputs!$B$9*Inputs!$B$10)*B$22)-(($A27*Inputs!$B$8*Inputs!$B$9*Inputs!$B$10)*Inputs!$B$12*Inputs!$B$14+($A27*Inputs!$B$8*Inputs!$B$9)*Inputs!$B$12*Inputs!$B$15)-(($A27*Inputs!$B$8*Inputs!$B$9)*(Inputs!$B$16+Inputs!$B$17+Inputs!$B$18)+SUM(Inputs!$B$20:$B$24)+Inputs!$B$21*Inputs!$B$25)))*Inputs!$B$29))*Inputs!$B$28)</x:f>
        <x:v>2165.6270000000004</x:v>
      </x:c>
      <x:c r="C27" s="122" t="n">
        <x:f>((($A27*Inputs!$B$8*Inputs!$B$9*Inputs!$B$10)*C$22)-(($A27*Inputs!$B$8*Inputs!$B$9*Inputs!$B$10)*Inputs!$B$12*Inputs!$B$14+($A27*Inputs!$B$8*Inputs!$B$9)*Inputs!$B$12*Inputs!$B$15)-(($A27*Inputs!$B$8*Inputs!$B$9)*(Inputs!$B$16+Inputs!$B$17+Inputs!$B$18)+SUM(Inputs!$B$20:$B$24)+Inputs!$B$21*Inputs!$B$25))-(MAX(0,((($A27*Inputs!$B$8*Inputs!$B$9*Inputs!$B$10)*C$22)-(($A27*Inputs!$B$8*Inputs!$B$9*Inputs!$B$10)*Inputs!$B$12*Inputs!$B$14+($A27*Inputs!$B$8*Inputs!$B$9)*Inputs!$B$12*Inputs!$B$15)-(($A27*Inputs!$B$8*Inputs!$B$9)*(Inputs!$B$16+Inputs!$B$17+Inputs!$B$18)+SUM(Inputs!$B$20:$B$24)+Inputs!$B$21*Inputs!$B$25)))*Inputs!$B$29)-(MAX(0,((($A27*Inputs!$B$8*Inputs!$B$9*Inputs!$B$10)*C$22)-(($A27*Inputs!$B$8*Inputs!$B$9*Inputs!$B$10)*Inputs!$B$12*Inputs!$B$14+($A27*Inputs!$B$8*Inputs!$B$9)*Inputs!$B$12*Inputs!$B$15)-(($A27*Inputs!$B$8*Inputs!$B$9)*(Inputs!$B$16+Inputs!$B$17+Inputs!$B$18)+SUM(Inputs!$B$20:$B$24)+Inputs!$B$21*Inputs!$B$25))-(MAX(0,((($A27*Inputs!$B$8*Inputs!$B$9*Inputs!$B$10)*C$22)-(($A27*Inputs!$B$8*Inputs!$B$9*Inputs!$B$10)*Inputs!$B$12*Inputs!$B$14+($A27*Inputs!$B$8*Inputs!$B$9)*Inputs!$B$12*Inputs!$B$15)-(($A27*Inputs!$B$8*Inputs!$B$9)*(Inputs!$B$16+Inputs!$B$17+Inputs!$B$18)+SUM(Inputs!$B$20:$B$24)+Inputs!$B$21*Inputs!$B$25)))*Inputs!$B$29))*Inputs!$B$28)</x:f>
        <x:v>7142.6269999999995</x:v>
      </x:c>
      <x:c r="D27" s="122" t="n">
        <x:f>((($A27*Inputs!$B$8*Inputs!$B$9*Inputs!$B$10)*D$22)-(($A27*Inputs!$B$8*Inputs!$B$9*Inputs!$B$10)*Inputs!$B$12*Inputs!$B$14+($A27*Inputs!$B$8*Inputs!$B$9)*Inputs!$B$12*Inputs!$B$15)-(($A27*Inputs!$B$8*Inputs!$B$9)*(Inputs!$B$16+Inputs!$B$17+Inputs!$B$18)+SUM(Inputs!$B$20:$B$24)+Inputs!$B$21*Inputs!$B$25))-(MAX(0,((($A27*Inputs!$B$8*Inputs!$B$9*Inputs!$B$10)*D$22)-(($A27*Inputs!$B$8*Inputs!$B$9*Inputs!$B$10)*Inputs!$B$12*Inputs!$B$14+($A27*Inputs!$B$8*Inputs!$B$9)*Inputs!$B$12*Inputs!$B$15)-(($A27*Inputs!$B$8*Inputs!$B$9)*(Inputs!$B$16+Inputs!$B$17+Inputs!$B$18)+SUM(Inputs!$B$20:$B$24)+Inputs!$B$21*Inputs!$B$25)))*Inputs!$B$29)-(MAX(0,((($A27*Inputs!$B$8*Inputs!$B$9*Inputs!$B$10)*D$22)-(($A27*Inputs!$B$8*Inputs!$B$9*Inputs!$B$10)*Inputs!$B$12*Inputs!$B$14+($A27*Inputs!$B$8*Inputs!$B$9)*Inputs!$B$12*Inputs!$B$15)-(($A27*Inputs!$B$8*Inputs!$B$9)*(Inputs!$B$16+Inputs!$B$17+Inputs!$B$18)+SUM(Inputs!$B$20:$B$24)+Inputs!$B$21*Inputs!$B$25))-(MAX(0,((($A27*Inputs!$B$8*Inputs!$B$9*Inputs!$B$10)*D$22)-(($A27*Inputs!$B$8*Inputs!$B$9*Inputs!$B$10)*Inputs!$B$12*Inputs!$B$14+($A27*Inputs!$B$8*Inputs!$B$9)*Inputs!$B$12*Inputs!$B$15)-(($A27*Inputs!$B$8*Inputs!$B$9)*(Inputs!$B$16+Inputs!$B$17+Inputs!$B$18)+SUM(Inputs!$B$20:$B$24)+Inputs!$B$21*Inputs!$B$25)))*Inputs!$B$29))*Inputs!$B$28)</x:f>
        <x:v>12119.627</x:v>
      </x:c>
      <x:c r="E27" s="122" t="n">
        <x:f>((($A27*Inputs!$B$8*Inputs!$B$9*Inputs!$B$10)*E$22)-(($A27*Inputs!$B$8*Inputs!$B$9*Inputs!$B$10)*Inputs!$B$12*Inputs!$B$14+($A27*Inputs!$B$8*Inputs!$B$9)*Inputs!$B$12*Inputs!$B$15)-(($A27*Inputs!$B$8*Inputs!$B$9)*(Inputs!$B$16+Inputs!$B$17+Inputs!$B$18)+SUM(Inputs!$B$20:$B$24)+Inputs!$B$21*Inputs!$B$25))-(MAX(0,((($A27*Inputs!$B$8*Inputs!$B$9*Inputs!$B$10)*E$22)-(($A27*Inputs!$B$8*Inputs!$B$9*Inputs!$B$10)*Inputs!$B$12*Inputs!$B$14+($A27*Inputs!$B$8*Inputs!$B$9)*Inputs!$B$12*Inputs!$B$15)-(($A27*Inputs!$B$8*Inputs!$B$9)*(Inputs!$B$16+Inputs!$B$17+Inputs!$B$18)+SUM(Inputs!$B$20:$B$24)+Inputs!$B$21*Inputs!$B$25)))*Inputs!$B$29)-(MAX(0,((($A27*Inputs!$B$8*Inputs!$B$9*Inputs!$B$10)*E$22)-(($A27*Inputs!$B$8*Inputs!$B$9*Inputs!$B$10)*Inputs!$B$12*Inputs!$B$14+($A27*Inputs!$B$8*Inputs!$B$9)*Inputs!$B$12*Inputs!$B$15)-(($A27*Inputs!$B$8*Inputs!$B$9)*(Inputs!$B$16+Inputs!$B$17+Inputs!$B$18)+SUM(Inputs!$B$20:$B$24)+Inputs!$B$21*Inputs!$B$25))-(MAX(0,((($A27*Inputs!$B$8*Inputs!$B$9*Inputs!$B$10)*E$22)-(($A27*Inputs!$B$8*Inputs!$B$9*Inputs!$B$10)*Inputs!$B$12*Inputs!$B$14+($A27*Inputs!$B$8*Inputs!$B$9)*Inputs!$B$12*Inputs!$B$15)-(($A27*Inputs!$B$8*Inputs!$B$9)*(Inputs!$B$16+Inputs!$B$17+Inputs!$B$18)+SUM(Inputs!$B$20:$B$24)+Inputs!$B$21*Inputs!$B$25)))*Inputs!$B$29))*Inputs!$B$28)</x:f>
        <x:v>17096.627</x:v>
      </x:c>
      <x:c r="F27" s="122" t="n">
        <x:f>((($A27*Inputs!$B$8*Inputs!$B$9*Inputs!$B$10)*F$22)-(($A27*Inputs!$B$8*Inputs!$B$9*Inputs!$B$10)*Inputs!$B$12*Inputs!$B$14+($A27*Inputs!$B$8*Inputs!$B$9)*Inputs!$B$12*Inputs!$B$15)-(($A27*Inputs!$B$8*Inputs!$B$9)*(Inputs!$B$16+Inputs!$B$17+Inputs!$B$18)+SUM(Inputs!$B$20:$B$24)+Inputs!$B$21*Inputs!$B$25))-(MAX(0,((($A27*Inputs!$B$8*Inputs!$B$9*Inputs!$B$10)*F$22)-(($A27*Inputs!$B$8*Inputs!$B$9*Inputs!$B$10)*Inputs!$B$12*Inputs!$B$14+($A27*Inputs!$B$8*Inputs!$B$9)*Inputs!$B$12*Inputs!$B$15)-(($A27*Inputs!$B$8*Inputs!$B$9)*(Inputs!$B$16+Inputs!$B$17+Inputs!$B$18)+SUM(Inputs!$B$20:$B$24)+Inputs!$B$21*Inputs!$B$25)))*Inputs!$B$29)-(MAX(0,((($A27*Inputs!$B$8*Inputs!$B$9*Inputs!$B$10)*F$22)-(($A27*Inputs!$B$8*Inputs!$B$9*Inputs!$B$10)*Inputs!$B$12*Inputs!$B$14+($A27*Inputs!$B$8*Inputs!$B$9)*Inputs!$B$12*Inputs!$B$15)-(($A27*Inputs!$B$8*Inputs!$B$9)*(Inputs!$B$16+Inputs!$B$17+Inputs!$B$18)+SUM(Inputs!$B$20:$B$24)+Inputs!$B$21*Inputs!$B$25))-(MAX(0,((($A27*Inputs!$B$8*Inputs!$B$9*Inputs!$B$10)*F$22)-(($A27*Inputs!$B$8*Inputs!$B$9*Inputs!$B$10)*Inputs!$B$12*Inputs!$B$14+($A27*Inputs!$B$8*Inputs!$B$9)*Inputs!$B$12*Inputs!$B$15)-(($A27*Inputs!$B$8*Inputs!$B$9)*(Inputs!$B$16+Inputs!$B$17+Inputs!$B$18)+SUM(Inputs!$B$20:$B$24)+Inputs!$B$21*Inputs!$B$25)))*Inputs!$B$29))*Inputs!$B$28)</x:f>
        <x:v>22073.627</x:v>
      </x:c>
      <x:c r="G27" s="122" t="n">
        <x:f>((($A27*Inputs!$B$8*Inputs!$B$9*Inputs!$B$10)*G$22)-(($A27*Inputs!$B$8*Inputs!$B$9*Inputs!$B$10)*Inputs!$B$12*Inputs!$B$14+($A27*Inputs!$B$8*Inputs!$B$9)*Inputs!$B$12*Inputs!$B$15)-(($A27*Inputs!$B$8*Inputs!$B$9)*(Inputs!$B$16+Inputs!$B$17+Inputs!$B$18)+SUM(Inputs!$B$20:$B$24)+Inputs!$B$21*Inputs!$B$25))-(MAX(0,((($A27*Inputs!$B$8*Inputs!$B$9*Inputs!$B$10)*G$22)-(($A27*Inputs!$B$8*Inputs!$B$9*Inputs!$B$10)*Inputs!$B$12*Inputs!$B$14+($A27*Inputs!$B$8*Inputs!$B$9)*Inputs!$B$12*Inputs!$B$15)-(($A27*Inputs!$B$8*Inputs!$B$9)*(Inputs!$B$16+Inputs!$B$17+Inputs!$B$18)+SUM(Inputs!$B$20:$B$24)+Inputs!$B$21*Inputs!$B$25)))*Inputs!$B$29)-(MAX(0,((($A27*Inputs!$B$8*Inputs!$B$9*Inputs!$B$10)*G$22)-(($A27*Inputs!$B$8*Inputs!$B$9*Inputs!$B$10)*Inputs!$B$12*Inputs!$B$14+($A27*Inputs!$B$8*Inputs!$B$9)*Inputs!$B$12*Inputs!$B$15)-(($A27*Inputs!$B$8*Inputs!$B$9)*(Inputs!$B$16+Inputs!$B$17+Inputs!$B$18)+SUM(Inputs!$B$20:$B$24)+Inputs!$B$21*Inputs!$B$25))-(MAX(0,((($A27*Inputs!$B$8*Inputs!$B$9*Inputs!$B$10)*G$22)-(($A27*Inputs!$B$8*Inputs!$B$9*Inputs!$B$10)*Inputs!$B$12*Inputs!$B$14+($A27*Inputs!$B$8*Inputs!$B$9)*Inputs!$B$12*Inputs!$B$15)-(($A27*Inputs!$B$8*Inputs!$B$9)*(Inputs!$B$16+Inputs!$B$17+Inputs!$B$18)+SUM(Inputs!$B$20:$B$24)+Inputs!$B$21*Inputs!$B$25)))*Inputs!$B$29))*Inputs!$B$28)</x:f>
        <x:v>27050.627</x:v>
      </x:c>
      <x:c r="H27" s="122" t="n">
        <x:f>((($A27*Inputs!$B$8*Inputs!$B$9*Inputs!$B$10)*H$22)-(($A27*Inputs!$B$8*Inputs!$B$9*Inputs!$B$10)*Inputs!$B$12*Inputs!$B$14+($A27*Inputs!$B$8*Inputs!$B$9)*Inputs!$B$12*Inputs!$B$15)-(($A27*Inputs!$B$8*Inputs!$B$9)*(Inputs!$B$16+Inputs!$B$17+Inputs!$B$18)+SUM(Inputs!$B$20:$B$24)+Inputs!$B$21*Inputs!$B$25))-(MAX(0,((($A27*Inputs!$B$8*Inputs!$B$9*Inputs!$B$10)*H$22)-(($A27*Inputs!$B$8*Inputs!$B$9*Inputs!$B$10)*Inputs!$B$12*Inputs!$B$14+($A27*Inputs!$B$8*Inputs!$B$9)*Inputs!$B$12*Inputs!$B$15)-(($A27*Inputs!$B$8*Inputs!$B$9)*(Inputs!$B$16+Inputs!$B$17+Inputs!$B$18)+SUM(Inputs!$B$20:$B$24)+Inputs!$B$21*Inputs!$B$25)))*Inputs!$B$29)-(MAX(0,((($A27*Inputs!$B$8*Inputs!$B$9*Inputs!$B$10)*H$22)-(($A27*Inputs!$B$8*Inputs!$B$9*Inputs!$B$10)*Inputs!$B$12*Inputs!$B$14+($A27*Inputs!$B$8*Inputs!$B$9)*Inputs!$B$12*Inputs!$B$15)-(($A27*Inputs!$B$8*Inputs!$B$9)*(Inputs!$B$16+Inputs!$B$17+Inputs!$B$18)+SUM(Inputs!$B$20:$B$24)+Inputs!$B$21*Inputs!$B$25))-(MAX(0,((($A27*Inputs!$B$8*Inputs!$B$9*Inputs!$B$10)*H$22)-(($A27*Inputs!$B$8*Inputs!$B$9*Inputs!$B$10)*Inputs!$B$12*Inputs!$B$14+($A27*Inputs!$B$8*Inputs!$B$9)*Inputs!$B$12*Inputs!$B$15)-(($A27*Inputs!$B$8*Inputs!$B$9)*(Inputs!$B$16+Inputs!$B$17+Inputs!$B$18)+SUM(Inputs!$B$20:$B$24)+Inputs!$B$21*Inputs!$B$25)))*Inputs!$B$29))*Inputs!$B$28)</x:f>
        <x:v>32027.627</x:v>
      </x:c>
    </x:row>
    <x:row r="28">
      <x:c r="A28" s="142" t="n">
        <x:f>ROUND(Inputs!$B$7*1.5,0)</x:f>
        <x:v>75</x:v>
      </x:c>
      <x:c r="B28" s="122" t="n">
        <x:f>((($A28*Inputs!$B$8*Inputs!$B$9*Inputs!$B$10)*B$22)-(($A28*Inputs!$B$8*Inputs!$B$9*Inputs!$B$10)*Inputs!$B$12*Inputs!$B$14+($A28*Inputs!$B$8*Inputs!$B$9)*Inputs!$B$12*Inputs!$B$15)-(($A28*Inputs!$B$8*Inputs!$B$9)*(Inputs!$B$16+Inputs!$B$17+Inputs!$B$18)+SUM(Inputs!$B$20:$B$24)+Inputs!$B$21*Inputs!$B$25))-(MAX(0,((($A28*Inputs!$B$8*Inputs!$B$9*Inputs!$B$10)*B$22)-(($A28*Inputs!$B$8*Inputs!$B$9*Inputs!$B$10)*Inputs!$B$12*Inputs!$B$14+($A28*Inputs!$B$8*Inputs!$B$9)*Inputs!$B$12*Inputs!$B$15)-(($A28*Inputs!$B$8*Inputs!$B$9)*(Inputs!$B$16+Inputs!$B$17+Inputs!$B$18)+SUM(Inputs!$B$20:$B$24)+Inputs!$B$21*Inputs!$B$25)))*Inputs!$B$29)-(MAX(0,((($A28*Inputs!$B$8*Inputs!$B$9*Inputs!$B$10)*B$22)-(($A28*Inputs!$B$8*Inputs!$B$9*Inputs!$B$10)*Inputs!$B$12*Inputs!$B$14+($A28*Inputs!$B$8*Inputs!$B$9)*Inputs!$B$12*Inputs!$B$15)-(($A28*Inputs!$B$8*Inputs!$B$9)*(Inputs!$B$16+Inputs!$B$17+Inputs!$B$18)+SUM(Inputs!$B$20:$B$24)+Inputs!$B$21*Inputs!$B$25))-(MAX(0,((($A28*Inputs!$B$8*Inputs!$B$9*Inputs!$B$10)*B$22)-(($A28*Inputs!$B$8*Inputs!$B$9*Inputs!$B$10)*Inputs!$B$12*Inputs!$B$14+($A28*Inputs!$B$8*Inputs!$B$9)*Inputs!$B$12*Inputs!$B$15)-(($A28*Inputs!$B$8*Inputs!$B$9)*(Inputs!$B$16+Inputs!$B$17+Inputs!$B$18)+SUM(Inputs!$B$20:$B$24)+Inputs!$B$21*Inputs!$B$25)))*Inputs!$B$29))*Inputs!$B$28)</x:f>
        <x:v>3426.467</x:v>
      </x:c>
      <x:c r="C28" s="122" t="n">
        <x:f>((($A28*Inputs!$B$8*Inputs!$B$9*Inputs!$B$10)*C$22)-(($A28*Inputs!$B$8*Inputs!$B$9*Inputs!$B$10)*Inputs!$B$12*Inputs!$B$14+($A28*Inputs!$B$8*Inputs!$B$9)*Inputs!$B$12*Inputs!$B$15)-(($A28*Inputs!$B$8*Inputs!$B$9)*(Inputs!$B$16+Inputs!$B$17+Inputs!$B$18)+SUM(Inputs!$B$20:$B$24)+Inputs!$B$21*Inputs!$B$25))-(MAX(0,((($A28*Inputs!$B$8*Inputs!$B$9*Inputs!$B$10)*C$22)-(($A28*Inputs!$B$8*Inputs!$B$9*Inputs!$B$10)*Inputs!$B$12*Inputs!$B$14+($A28*Inputs!$B$8*Inputs!$B$9)*Inputs!$B$12*Inputs!$B$15)-(($A28*Inputs!$B$8*Inputs!$B$9)*(Inputs!$B$16+Inputs!$B$17+Inputs!$B$18)+SUM(Inputs!$B$20:$B$24)+Inputs!$B$21*Inputs!$B$25)))*Inputs!$B$29)-(MAX(0,((($A28*Inputs!$B$8*Inputs!$B$9*Inputs!$B$10)*C$22)-(($A28*Inputs!$B$8*Inputs!$B$9*Inputs!$B$10)*Inputs!$B$12*Inputs!$B$14+($A28*Inputs!$B$8*Inputs!$B$9)*Inputs!$B$12*Inputs!$B$15)-(($A28*Inputs!$B$8*Inputs!$B$9)*(Inputs!$B$16+Inputs!$B$17+Inputs!$B$18)+SUM(Inputs!$B$20:$B$24)+Inputs!$B$21*Inputs!$B$25))-(MAX(0,((($A28*Inputs!$B$8*Inputs!$B$9*Inputs!$B$10)*C$22)-(($A28*Inputs!$B$8*Inputs!$B$9*Inputs!$B$10)*Inputs!$B$12*Inputs!$B$14+($A28*Inputs!$B$8*Inputs!$B$9)*Inputs!$B$12*Inputs!$B$15)-(($A28*Inputs!$B$8*Inputs!$B$9)*(Inputs!$B$16+Inputs!$B$17+Inputs!$B$18)+SUM(Inputs!$B$20:$B$24)+Inputs!$B$21*Inputs!$B$25)))*Inputs!$B$29))*Inputs!$B$28)</x:f>
        <x:v>9351.467</x:v>
      </x:c>
      <x:c r="D28" s="122" t="n">
        <x:f>((($A28*Inputs!$B$8*Inputs!$B$9*Inputs!$B$10)*D$22)-(($A28*Inputs!$B$8*Inputs!$B$9*Inputs!$B$10)*Inputs!$B$12*Inputs!$B$14+($A28*Inputs!$B$8*Inputs!$B$9)*Inputs!$B$12*Inputs!$B$15)-(($A28*Inputs!$B$8*Inputs!$B$9)*(Inputs!$B$16+Inputs!$B$17+Inputs!$B$18)+SUM(Inputs!$B$20:$B$24)+Inputs!$B$21*Inputs!$B$25))-(MAX(0,((($A28*Inputs!$B$8*Inputs!$B$9*Inputs!$B$10)*D$22)-(($A28*Inputs!$B$8*Inputs!$B$9*Inputs!$B$10)*Inputs!$B$12*Inputs!$B$14+($A28*Inputs!$B$8*Inputs!$B$9)*Inputs!$B$12*Inputs!$B$15)-(($A28*Inputs!$B$8*Inputs!$B$9)*(Inputs!$B$16+Inputs!$B$17+Inputs!$B$18)+SUM(Inputs!$B$20:$B$24)+Inputs!$B$21*Inputs!$B$25)))*Inputs!$B$29)-(MAX(0,((($A28*Inputs!$B$8*Inputs!$B$9*Inputs!$B$10)*D$22)-(($A28*Inputs!$B$8*Inputs!$B$9*Inputs!$B$10)*Inputs!$B$12*Inputs!$B$14+($A28*Inputs!$B$8*Inputs!$B$9)*Inputs!$B$12*Inputs!$B$15)-(($A28*Inputs!$B$8*Inputs!$B$9)*(Inputs!$B$16+Inputs!$B$17+Inputs!$B$18)+SUM(Inputs!$B$20:$B$24)+Inputs!$B$21*Inputs!$B$25))-(MAX(0,((($A28*Inputs!$B$8*Inputs!$B$9*Inputs!$B$10)*D$22)-(($A28*Inputs!$B$8*Inputs!$B$9*Inputs!$B$10)*Inputs!$B$12*Inputs!$B$14+($A28*Inputs!$B$8*Inputs!$B$9)*Inputs!$B$12*Inputs!$B$15)-(($A28*Inputs!$B$8*Inputs!$B$9)*(Inputs!$B$16+Inputs!$B$17+Inputs!$B$18)+SUM(Inputs!$B$20:$B$24)+Inputs!$B$21*Inputs!$B$25)))*Inputs!$B$29))*Inputs!$B$28)</x:f>
        <x:v>15276.467</x:v>
      </x:c>
      <x:c r="E28" s="122" t="n">
        <x:f>((($A28*Inputs!$B$8*Inputs!$B$9*Inputs!$B$10)*E$22)-(($A28*Inputs!$B$8*Inputs!$B$9*Inputs!$B$10)*Inputs!$B$12*Inputs!$B$14+($A28*Inputs!$B$8*Inputs!$B$9)*Inputs!$B$12*Inputs!$B$15)-(($A28*Inputs!$B$8*Inputs!$B$9)*(Inputs!$B$16+Inputs!$B$17+Inputs!$B$18)+SUM(Inputs!$B$20:$B$24)+Inputs!$B$21*Inputs!$B$25))-(MAX(0,((($A28*Inputs!$B$8*Inputs!$B$9*Inputs!$B$10)*E$22)-(($A28*Inputs!$B$8*Inputs!$B$9*Inputs!$B$10)*Inputs!$B$12*Inputs!$B$14+($A28*Inputs!$B$8*Inputs!$B$9)*Inputs!$B$12*Inputs!$B$15)-(($A28*Inputs!$B$8*Inputs!$B$9)*(Inputs!$B$16+Inputs!$B$17+Inputs!$B$18)+SUM(Inputs!$B$20:$B$24)+Inputs!$B$21*Inputs!$B$25)))*Inputs!$B$29)-(MAX(0,((($A28*Inputs!$B$8*Inputs!$B$9*Inputs!$B$10)*E$22)-(($A28*Inputs!$B$8*Inputs!$B$9*Inputs!$B$10)*Inputs!$B$12*Inputs!$B$14+($A28*Inputs!$B$8*Inputs!$B$9)*Inputs!$B$12*Inputs!$B$15)-(($A28*Inputs!$B$8*Inputs!$B$9)*(Inputs!$B$16+Inputs!$B$17+Inputs!$B$18)+SUM(Inputs!$B$20:$B$24)+Inputs!$B$21*Inputs!$B$25))-(MAX(0,((($A28*Inputs!$B$8*Inputs!$B$9*Inputs!$B$10)*E$22)-(($A28*Inputs!$B$8*Inputs!$B$9*Inputs!$B$10)*Inputs!$B$12*Inputs!$B$14+($A28*Inputs!$B$8*Inputs!$B$9)*Inputs!$B$12*Inputs!$B$15)-(($A28*Inputs!$B$8*Inputs!$B$9)*(Inputs!$B$16+Inputs!$B$17+Inputs!$B$18)+SUM(Inputs!$B$20:$B$24)+Inputs!$B$21*Inputs!$B$25)))*Inputs!$B$29))*Inputs!$B$28)</x:f>
        <x:v>21201.467</x:v>
      </x:c>
      <x:c r="F28" s="122" t="n">
        <x:f>((($A28*Inputs!$B$8*Inputs!$B$9*Inputs!$B$10)*F$22)-(($A28*Inputs!$B$8*Inputs!$B$9*Inputs!$B$10)*Inputs!$B$12*Inputs!$B$14+($A28*Inputs!$B$8*Inputs!$B$9)*Inputs!$B$12*Inputs!$B$15)-(($A28*Inputs!$B$8*Inputs!$B$9)*(Inputs!$B$16+Inputs!$B$17+Inputs!$B$18)+SUM(Inputs!$B$20:$B$24)+Inputs!$B$21*Inputs!$B$25))-(MAX(0,((($A28*Inputs!$B$8*Inputs!$B$9*Inputs!$B$10)*F$22)-(($A28*Inputs!$B$8*Inputs!$B$9*Inputs!$B$10)*Inputs!$B$12*Inputs!$B$14+($A28*Inputs!$B$8*Inputs!$B$9)*Inputs!$B$12*Inputs!$B$15)-(($A28*Inputs!$B$8*Inputs!$B$9)*(Inputs!$B$16+Inputs!$B$17+Inputs!$B$18)+SUM(Inputs!$B$20:$B$24)+Inputs!$B$21*Inputs!$B$25)))*Inputs!$B$29)-(MAX(0,((($A28*Inputs!$B$8*Inputs!$B$9*Inputs!$B$10)*F$22)-(($A28*Inputs!$B$8*Inputs!$B$9*Inputs!$B$10)*Inputs!$B$12*Inputs!$B$14+($A28*Inputs!$B$8*Inputs!$B$9)*Inputs!$B$12*Inputs!$B$15)-(($A28*Inputs!$B$8*Inputs!$B$9)*(Inputs!$B$16+Inputs!$B$17+Inputs!$B$18)+SUM(Inputs!$B$20:$B$24)+Inputs!$B$21*Inputs!$B$25))-(MAX(0,((($A28*Inputs!$B$8*Inputs!$B$9*Inputs!$B$10)*F$22)-(($A28*Inputs!$B$8*Inputs!$B$9*Inputs!$B$10)*Inputs!$B$12*Inputs!$B$14+($A28*Inputs!$B$8*Inputs!$B$9)*Inputs!$B$12*Inputs!$B$15)-(($A28*Inputs!$B$8*Inputs!$B$9)*(Inputs!$B$16+Inputs!$B$17+Inputs!$B$18)+SUM(Inputs!$B$20:$B$24)+Inputs!$B$21*Inputs!$B$25)))*Inputs!$B$29))*Inputs!$B$28)</x:f>
        <x:v>27126.467000000004</x:v>
      </x:c>
      <x:c r="G28" s="122" t="n">
        <x:f>((($A28*Inputs!$B$8*Inputs!$B$9*Inputs!$B$10)*G$22)-(($A28*Inputs!$B$8*Inputs!$B$9*Inputs!$B$10)*Inputs!$B$12*Inputs!$B$14+($A28*Inputs!$B$8*Inputs!$B$9)*Inputs!$B$12*Inputs!$B$15)-(($A28*Inputs!$B$8*Inputs!$B$9)*(Inputs!$B$16+Inputs!$B$17+Inputs!$B$18)+SUM(Inputs!$B$20:$B$24)+Inputs!$B$21*Inputs!$B$25))-(MAX(0,((($A28*Inputs!$B$8*Inputs!$B$9*Inputs!$B$10)*G$22)-(($A28*Inputs!$B$8*Inputs!$B$9*Inputs!$B$10)*Inputs!$B$12*Inputs!$B$14+($A28*Inputs!$B$8*Inputs!$B$9)*Inputs!$B$12*Inputs!$B$15)-(($A28*Inputs!$B$8*Inputs!$B$9)*(Inputs!$B$16+Inputs!$B$17+Inputs!$B$18)+SUM(Inputs!$B$20:$B$24)+Inputs!$B$21*Inputs!$B$25)))*Inputs!$B$29)-(MAX(0,((($A28*Inputs!$B$8*Inputs!$B$9*Inputs!$B$10)*G$22)-(($A28*Inputs!$B$8*Inputs!$B$9*Inputs!$B$10)*Inputs!$B$12*Inputs!$B$14+($A28*Inputs!$B$8*Inputs!$B$9)*Inputs!$B$12*Inputs!$B$15)-(($A28*Inputs!$B$8*Inputs!$B$9)*(Inputs!$B$16+Inputs!$B$17+Inputs!$B$18)+SUM(Inputs!$B$20:$B$24)+Inputs!$B$21*Inputs!$B$25))-(MAX(0,((($A28*Inputs!$B$8*Inputs!$B$9*Inputs!$B$10)*G$22)-(($A28*Inputs!$B$8*Inputs!$B$9*Inputs!$B$10)*Inputs!$B$12*Inputs!$B$14+($A28*Inputs!$B$8*Inputs!$B$9)*Inputs!$B$12*Inputs!$B$15)-(($A28*Inputs!$B$8*Inputs!$B$9)*(Inputs!$B$16+Inputs!$B$17+Inputs!$B$18)+SUM(Inputs!$B$20:$B$24)+Inputs!$B$21*Inputs!$B$25)))*Inputs!$B$29))*Inputs!$B$28)</x:f>
        <x:v>33051.467000000004</x:v>
      </x:c>
      <x:c r="H28" s="122" t="n">
        <x:f>((($A28*Inputs!$B$8*Inputs!$B$9*Inputs!$B$10)*H$22)-(($A28*Inputs!$B$8*Inputs!$B$9*Inputs!$B$10)*Inputs!$B$12*Inputs!$B$14+($A28*Inputs!$B$8*Inputs!$B$9)*Inputs!$B$12*Inputs!$B$15)-(($A28*Inputs!$B$8*Inputs!$B$9)*(Inputs!$B$16+Inputs!$B$17+Inputs!$B$18)+SUM(Inputs!$B$20:$B$24)+Inputs!$B$21*Inputs!$B$25))-(MAX(0,((($A28*Inputs!$B$8*Inputs!$B$9*Inputs!$B$10)*H$22)-(($A28*Inputs!$B$8*Inputs!$B$9*Inputs!$B$10)*Inputs!$B$12*Inputs!$B$14+($A28*Inputs!$B$8*Inputs!$B$9)*Inputs!$B$12*Inputs!$B$15)-(($A28*Inputs!$B$8*Inputs!$B$9)*(Inputs!$B$16+Inputs!$B$17+Inputs!$B$18)+SUM(Inputs!$B$20:$B$24)+Inputs!$B$21*Inputs!$B$25)))*Inputs!$B$29)-(MAX(0,((($A28*Inputs!$B$8*Inputs!$B$9*Inputs!$B$10)*H$22)-(($A28*Inputs!$B$8*Inputs!$B$9*Inputs!$B$10)*Inputs!$B$12*Inputs!$B$14+($A28*Inputs!$B$8*Inputs!$B$9)*Inputs!$B$12*Inputs!$B$15)-(($A28*Inputs!$B$8*Inputs!$B$9)*(Inputs!$B$16+Inputs!$B$17+Inputs!$B$18)+SUM(Inputs!$B$20:$B$24)+Inputs!$B$21*Inputs!$B$25))-(MAX(0,((($A28*Inputs!$B$8*Inputs!$B$9*Inputs!$B$10)*H$22)-(($A28*Inputs!$B$8*Inputs!$B$9*Inputs!$B$10)*Inputs!$B$12*Inputs!$B$14+($A28*Inputs!$B$8*Inputs!$B$9)*Inputs!$B$12*Inputs!$B$15)-(($A28*Inputs!$B$8*Inputs!$B$9)*(Inputs!$B$16+Inputs!$B$17+Inputs!$B$18)+SUM(Inputs!$B$20:$B$24)+Inputs!$B$21*Inputs!$B$25)))*Inputs!$B$29))*Inputs!$B$28)</x:f>
        <x:v>38976.467000000004</x:v>
      </x:c>
    </x:row>
    <x:row r="29">
      <x:c r="A29" s="142" t="n">
        <x:f>ROUND(Inputs!$B$7*2,0)</x:f>
        <x:v>100</x:v>
      </x:c>
      <x:c r="B29" s="122" t="n">
        <x:f>((($A29*Inputs!$B$8*Inputs!$B$9*Inputs!$B$10)*B$22)-(($A29*Inputs!$B$8*Inputs!$B$9*Inputs!$B$10)*Inputs!$B$12*Inputs!$B$14+($A29*Inputs!$B$8*Inputs!$B$9)*Inputs!$B$12*Inputs!$B$15)-(($A29*Inputs!$B$8*Inputs!$B$9)*(Inputs!$B$16+Inputs!$B$17+Inputs!$B$18)+SUM(Inputs!$B$20:$B$24)+Inputs!$B$21*Inputs!$B$25))-(MAX(0,((($A29*Inputs!$B$8*Inputs!$B$9*Inputs!$B$10)*B$22)-(($A29*Inputs!$B$8*Inputs!$B$9*Inputs!$B$10)*Inputs!$B$12*Inputs!$B$14+($A29*Inputs!$B$8*Inputs!$B$9)*Inputs!$B$12*Inputs!$B$15)-(($A29*Inputs!$B$8*Inputs!$B$9)*(Inputs!$B$16+Inputs!$B$17+Inputs!$B$18)+SUM(Inputs!$B$20:$B$24)+Inputs!$B$21*Inputs!$B$25)))*Inputs!$B$29)-(MAX(0,((($A29*Inputs!$B$8*Inputs!$B$9*Inputs!$B$10)*B$22)-(($A29*Inputs!$B$8*Inputs!$B$9*Inputs!$B$10)*Inputs!$B$12*Inputs!$B$14+($A29*Inputs!$B$8*Inputs!$B$9)*Inputs!$B$12*Inputs!$B$15)-(($A29*Inputs!$B$8*Inputs!$B$9)*(Inputs!$B$16+Inputs!$B$17+Inputs!$B$18)+SUM(Inputs!$B$20:$B$24)+Inputs!$B$21*Inputs!$B$25))-(MAX(0,((($A29*Inputs!$B$8*Inputs!$B$9*Inputs!$B$10)*B$22)-(($A29*Inputs!$B$8*Inputs!$B$9*Inputs!$B$10)*Inputs!$B$12*Inputs!$B$14+($A29*Inputs!$B$8*Inputs!$B$9)*Inputs!$B$12*Inputs!$B$15)-(($A29*Inputs!$B$8*Inputs!$B$9)*(Inputs!$B$16+Inputs!$B$17+Inputs!$B$18)+SUM(Inputs!$B$20:$B$24)+Inputs!$B$21*Inputs!$B$25)))*Inputs!$B$29))*Inputs!$B$28)</x:f>
        <x:v>6053.217000000001</x:v>
      </x:c>
      <x:c r="C29" s="122" t="n">
        <x:f>((($A29*Inputs!$B$8*Inputs!$B$9*Inputs!$B$10)*C$22)-(($A29*Inputs!$B$8*Inputs!$B$9*Inputs!$B$10)*Inputs!$B$12*Inputs!$B$14+($A29*Inputs!$B$8*Inputs!$B$9)*Inputs!$B$12*Inputs!$B$15)-(($A29*Inputs!$B$8*Inputs!$B$9)*(Inputs!$B$16+Inputs!$B$17+Inputs!$B$18)+SUM(Inputs!$B$20:$B$24)+Inputs!$B$21*Inputs!$B$25))-(MAX(0,((($A29*Inputs!$B$8*Inputs!$B$9*Inputs!$B$10)*C$22)-(($A29*Inputs!$B$8*Inputs!$B$9*Inputs!$B$10)*Inputs!$B$12*Inputs!$B$14+($A29*Inputs!$B$8*Inputs!$B$9)*Inputs!$B$12*Inputs!$B$15)-(($A29*Inputs!$B$8*Inputs!$B$9)*(Inputs!$B$16+Inputs!$B$17+Inputs!$B$18)+SUM(Inputs!$B$20:$B$24)+Inputs!$B$21*Inputs!$B$25)))*Inputs!$B$29)-(MAX(0,((($A29*Inputs!$B$8*Inputs!$B$9*Inputs!$B$10)*C$22)-(($A29*Inputs!$B$8*Inputs!$B$9*Inputs!$B$10)*Inputs!$B$12*Inputs!$B$14+($A29*Inputs!$B$8*Inputs!$B$9)*Inputs!$B$12*Inputs!$B$15)-(($A29*Inputs!$B$8*Inputs!$B$9)*(Inputs!$B$16+Inputs!$B$17+Inputs!$B$18)+SUM(Inputs!$B$20:$B$24)+Inputs!$B$21*Inputs!$B$25))-(MAX(0,((($A29*Inputs!$B$8*Inputs!$B$9*Inputs!$B$10)*C$22)-(($A29*Inputs!$B$8*Inputs!$B$9*Inputs!$B$10)*Inputs!$B$12*Inputs!$B$14+($A29*Inputs!$B$8*Inputs!$B$9)*Inputs!$B$12*Inputs!$B$15)-(($A29*Inputs!$B$8*Inputs!$B$9)*(Inputs!$B$16+Inputs!$B$17+Inputs!$B$18)+SUM(Inputs!$B$20:$B$24)+Inputs!$B$21*Inputs!$B$25)))*Inputs!$B$29))*Inputs!$B$28)</x:f>
        <x:v>13953.217</x:v>
      </x:c>
      <x:c r="D29" s="122" t="n">
        <x:f>((($A29*Inputs!$B$8*Inputs!$B$9*Inputs!$B$10)*D$22)-(($A29*Inputs!$B$8*Inputs!$B$9*Inputs!$B$10)*Inputs!$B$12*Inputs!$B$14+($A29*Inputs!$B$8*Inputs!$B$9)*Inputs!$B$12*Inputs!$B$15)-(($A29*Inputs!$B$8*Inputs!$B$9)*(Inputs!$B$16+Inputs!$B$17+Inputs!$B$18)+SUM(Inputs!$B$20:$B$24)+Inputs!$B$21*Inputs!$B$25))-(MAX(0,((($A29*Inputs!$B$8*Inputs!$B$9*Inputs!$B$10)*D$22)-(($A29*Inputs!$B$8*Inputs!$B$9*Inputs!$B$10)*Inputs!$B$12*Inputs!$B$14+($A29*Inputs!$B$8*Inputs!$B$9)*Inputs!$B$12*Inputs!$B$15)-(($A29*Inputs!$B$8*Inputs!$B$9)*(Inputs!$B$16+Inputs!$B$17+Inputs!$B$18)+SUM(Inputs!$B$20:$B$24)+Inputs!$B$21*Inputs!$B$25)))*Inputs!$B$29)-(MAX(0,((($A29*Inputs!$B$8*Inputs!$B$9*Inputs!$B$10)*D$22)-(($A29*Inputs!$B$8*Inputs!$B$9*Inputs!$B$10)*Inputs!$B$12*Inputs!$B$14+($A29*Inputs!$B$8*Inputs!$B$9)*Inputs!$B$12*Inputs!$B$15)-(($A29*Inputs!$B$8*Inputs!$B$9)*(Inputs!$B$16+Inputs!$B$17+Inputs!$B$18)+SUM(Inputs!$B$20:$B$24)+Inputs!$B$21*Inputs!$B$25))-(MAX(0,((($A29*Inputs!$B$8*Inputs!$B$9*Inputs!$B$10)*D$22)-(($A29*Inputs!$B$8*Inputs!$B$9*Inputs!$B$10)*Inputs!$B$12*Inputs!$B$14+($A29*Inputs!$B$8*Inputs!$B$9)*Inputs!$B$12*Inputs!$B$15)-(($A29*Inputs!$B$8*Inputs!$B$9)*(Inputs!$B$16+Inputs!$B$17+Inputs!$B$18)+SUM(Inputs!$B$20:$B$24)+Inputs!$B$21*Inputs!$B$25)))*Inputs!$B$29))*Inputs!$B$28)</x:f>
        <x:v>21853.217</x:v>
      </x:c>
      <x:c r="E29" s="122" t="n">
        <x:f>((($A29*Inputs!$B$8*Inputs!$B$9*Inputs!$B$10)*E$22)-(($A29*Inputs!$B$8*Inputs!$B$9*Inputs!$B$10)*Inputs!$B$12*Inputs!$B$14+($A29*Inputs!$B$8*Inputs!$B$9)*Inputs!$B$12*Inputs!$B$15)-(($A29*Inputs!$B$8*Inputs!$B$9)*(Inputs!$B$16+Inputs!$B$17+Inputs!$B$18)+SUM(Inputs!$B$20:$B$24)+Inputs!$B$21*Inputs!$B$25))-(MAX(0,((($A29*Inputs!$B$8*Inputs!$B$9*Inputs!$B$10)*E$22)-(($A29*Inputs!$B$8*Inputs!$B$9*Inputs!$B$10)*Inputs!$B$12*Inputs!$B$14+($A29*Inputs!$B$8*Inputs!$B$9)*Inputs!$B$12*Inputs!$B$15)-(($A29*Inputs!$B$8*Inputs!$B$9)*(Inputs!$B$16+Inputs!$B$17+Inputs!$B$18)+SUM(Inputs!$B$20:$B$24)+Inputs!$B$21*Inputs!$B$25)))*Inputs!$B$29)-(MAX(0,((($A29*Inputs!$B$8*Inputs!$B$9*Inputs!$B$10)*E$22)-(($A29*Inputs!$B$8*Inputs!$B$9*Inputs!$B$10)*Inputs!$B$12*Inputs!$B$14+($A29*Inputs!$B$8*Inputs!$B$9)*Inputs!$B$12*Inputs!$B$15)-(($A29*Inputs!$B$8*Inputs!$B$9)*(Inputs!$B$16+Inputs!$B$17+Inputs!$B$18)+SUM(Inputs!$B$20:$B$24)+Inputs!$B$21*Inputs!$B$25))-(MAX(0,((($A29*Inputs!$B$8*Inputs!$B$9*Inputs!$B$10)*E$22)-(($A29*Inputs!$B$8*Inputs!$B$9*Inputs!$B$10)*Inputs!$B$12*Inputs!$B$14+($A29*Inputs!$B$8*Inputs!$B$9)*Inputs!$B$12*Inputs!$B$15)-(($A29*Inputs!$B$8*Inputs!$B$9)*(Inputs!$B$16+Inputs!$B$17+Inputs!$B$18)+SUM(Inputs!$B$20:$B$24)+Inputs!$B$21*Inputs!$B$25)))*Inputs!$B$29))*Inputs!$B$28)</x:f>
        <x:v>29753.217000000004</x:v>
      </x:c>
      <x:c r="F29" s="122" t="n">
        <x:f>((($A29*Inputs!$B$8*Inputs!$B$9*Inputs!$B$10)*F$22)-(($A29*Inputs!$B$8*Inputs!$B$9*Inputs!$B$10)*Inputs!$B$12*Inputs!$B$14+($A29*Inputs!$B$8*Inputs!$B$9)*Inputs!$B$12*Inputs!$B$15)-(($A29*Inputs!$B$8*Inputs!$B$9)*(Inputs!$B$16+Inputs!$B$17+Inputs!$B$18)+SUM(Inputs!$B$20:$B$24)+Inputs!$B$21*Inputs!$B$25))-(MAX(0,((($A29*Inputs!$B$8*Inputs!$B$9*Inputs!$B$10)*F$22)-(($A29*Inputs!$B$8*Inputs!$B$9*Inputs!$B$10)*Inputs!$B$12*Inputs!$B$14+($A29*Inputs!$B$8*Inputs!$B$9)*Inputs!$B$12*Inputs!$B$15)-(($A29*Inputs!$B$8*Inputs!$B$9)*(Inputs!$B$16+Inputs!$B$17+Inputs!$B$18)+SUM(Inputs!$B$20:$B$24)+Inputs!$B$21*Inputs!$B$25)))*Inputs!$B$29)-(MAX(0,((($A29*Inputs!$B$8*Inputs!$B$9*Inputs!$B$10)*F$22)-(($A29*Inputs!$B$8*Inputs!$B$9*Inputs!$B$10)*Inputs!$B$12*Inputs!$B$14+($A29*Inputs!$B$8*Inputs!$B$9)*Inputs!$B$12*Inputs!$B$15)-(($A29*Inputs!$B$8*Inputs!$B$9)*(Inputs!$B$16+Inputs!$B$17+Inputs!$B$18)+SUM(Inputs!$B$20:$B$24)+Inputs!$B$21*Inputs!$B$25))-(MAX(0,((($A29*Inputs!$B$8*Inputs!$B$9*Inputs!$B$10)*F$22)-(($A29*Inputs!$B$8*Inputs!$B$9*Inputs!$B$10)*Inputs!$B$12*Inputs!$B$14+($A29*Inputs!$B$8*Inputs!$B$9)*Inputs!$B$12*Inputs!$B$15)-(($A29*Inputs!$B$8*Inputs!$B$9)*(Inputs!$B$16+Inputs!$B$17+Inputs!$B$18)+SUM(Inputs!$B$20:$B$24)+Inputs!$B$21*Inputs!$B$25)))*Inputs!$B$29))*Inputs!$B$28)</x:f>
        <x:v>37653.217000000004</x:v>
      </x:c>
      <x:c r="G29" s="122" t="n">
        <x:f>((($A29*Inputs!$B$8*Inputs!$B$9*Inputs!$B$10)*G$22)-(($A29*Inputs!$B$8*Inputs!$B$9*Inputs!$B$10)*Inputs!$B$12*Inputs!$B$14+($A29*Inputs!$B$8*Inputs!$B$9)*Inputs!$B$12*Inputs!$B$15)-(($A29*Inputs!$B$8*Inputs!$B$9)*(Inputs!$B$16+Inputs!$B$17+Inputs!$B$18)+SUM(Inputs!$B$20:$B$24)+Inputs!$B$21*Inputs!$B$25))-(MAX(0,((($A29*Inputs!$B$8*Inputs!$B$9*Inputs!$B$10)*G$22)-(($A29*Inputs!$B$8*Inputs!$B$9*Inputs!$B$10)*Inputs!$B$12*Inputs!$B$14+($A29*Inputs!$B$8*Inputs!$B$9)*Inputs!$B$12*Inputs!$B$15)-(($A29*Inputs!$B$8*Inputs!$B$9)*(Inputs!$B$16+Inputs!$B$17+Inputs!$B$18)+SUM(Inputs!$B$20:$B$24)+Inputs!$B$21*Inputs!$B$25)))*Inputs!$B$29)-(MAX(0,((($A29*Inputs!$B$8*Inputs!$B$9*Inputs!$B$10)*G$22)-(($A29*Inputs!$B$8*Inputs!$B$9*Inputs!$B$10)*Inputs!$B$12*Inputs!$B$14+($A29*Inputs!$B$8*Inputs!$B$9)*Inputs!$B$12*Inputs!$B$15)-(($A29*Inputs!$B$8*Inputs!$B$9)*(Inputs!$B$16+Inputs!$B$17+Inputs!$B$18)+SUM(Inputs!$B$20:$B$24)+Inputs!$B$21*Inputs!$B$25))-(MAX(0,((($A29*Inputs!$B$8*Inputs!$B$9*Inputs!$B$10)*G$22)-(($A29*Inputs!$B$8*Inputs!$B$9*Inputs!$B$10)*Inputs!$B$12*Inputs!$B$14+($A29*Inputs!$B$8*Inputs!$B$9)*Inputs!$B$12*Inputs!$B$15)-(($A29*Inputs!$B$8*Inputs!$B$9)*(Inputs!$B$16+Inputs!$B$17+Inputs!$B$18)+SUM(Inputs!$B$20:$B$24)+Inputs!$B$21*Inputs!$B$25)))*Inputs!$B$29))*Inputs!$B$28)</x:f>
        <x:v>45553.217000000004</x:v>
      </x:c>
      <x:c r="H29" s="122" t="n">
        <x:f>((($A29*Inputs!$B$8*Inputs!$B$9*Inputs!$B$10)*H$22)-(($A29*Inputs!$B$8*Inputs!$B$9*Inputs!$B$10)*Inputs!$B$12*Inputs!$B$14+($A29*Inputs!$B$8*Inputs!$B$9)*Inputs!$B$12*Inputs!$B$15)-(($A29*Inputs!$B$8*Inputs!$B$9)*(Inputs!$B$16+Inputs!$B$17+Inputs!$B$18)+SUM(Inputs!$B$20:$B$24)+Inputs!$B$21*Inputs!$B$25))-(MAX(0,((($A29*Inputs!$B$8*Inputs!$B$9*Inputs!$B$10)*H$22)-(($A29*Inputs!$B$8*Inputs!$B$9*Inputs!$B$10)*Inputs!$B$12*Inputs!$B$14+($A29*Inputs!$B$8*Inputs!$B$9)*Inputs!$B$12*Inputs!$B$15)-(($A29*Inputs!$B$8*Inputs!$B$9)*(Inputs!$B$16+Inputs!$B$17+Inputs!$B$18)+SUM(Inputs!$B$20:$B$24)+Inputs!$B$21*Inputs!$B$25)))*Inputs!$B$29)-(MAX(0,((($A29*Inputs!$B$8*Inputs!$B$9*Inputs!$B$10)*H$22)-(($A29*Inputs!$B$8*Inputs!$B$9*Inputs!$B$10)*Inputs!$B$12*Inputs!$B$14+($A29*Inputs!$B$8*Inputs!$B$9)*Inputs!$B$12*Inputs!$B$15)-(($A29*Inputs!$B$8*Inputs!$B$9)*(Inputs!$B$16+Inputs!$B$17+Inputs!$B$18)+SUM(Inputs!$B$20:$B$24)+Inputs!$B$21*Inputs!$B$25))-(MAX(0,((($A29*Inputs!$B$8*Inputs!$B$9*Inputs!$B$10)*H$22)-(($A29*Inputs!$B$8*Inputs!$B$9*Inputs!$B$10)*Inputs!$B$12*Inputs!$B$14+($A29*Inputs!$B$8*Inputs!$B$9)*Inputs!$B$12*Inputs!$B$15)-(($A29*Inputs!$B$8*Inputs!$B$9)*(Inputs!$B$16+Inputs!$B$17+Inputs!$B$18)+SUM(Inputs!$B$20:$B$24)+Inputs!$B$21*Inputs!$B$25)))*Inputs!$B$29))*Inputs!$B$28)</x:f>
        <x:v>53453.217000000004</x:v>
      </x:c>
    </x:row>
    <x:row r="30">
      <x:c r="A30" s="142" t="n">
        <x:f>ROUND(Inputs!$B$7*3,0)</x:f>
        <x:v>150</x:v>
      </x:c>
      <x:c r="B30" s="122" t="n">
        <x:f>((($A30*Inputs!$B$8*Inputs!$B$9*Inputs!$B$10)*B$22)-(($A30*Inputs!$B$8*Inputs!$B$9*Inputs!$B$10)*Inputs!$B$12*Inputs!$B$14+($A30*Inputs!$B$8*Inputs!$B$9)*Inputs!$B$12*Inputs!$B$15)-(($A30*Inputs!$B$8*Inputs!$B$9)*(Inputs!$B$16+Inputs!$B$17+Inputs!$B$18)+SUM(Inputs!$B$20:$B$24)+Inputs!$B$21*Inputs!$B$25))-(MAX(0,((($A30*Inputs!$B$8*Inputs!$B$9*Inputs!$B$10)*B$22)-(($A30*Inputs!$B$8*Inputs!$B$9*Inputs!$B$10)*Inputs!$B$12*Inputs!$B$14+($A30*Inputs!$B$8*Inputs!$B$9)*Inputs!$B$12*Inputs!$B$15)-(($A30*Inputs!$B$8*Inputs!$B$9)*(Inputs!$B$16+Inputs!$B$17+Inputs!$B$18)+SUM(Inputs!$B$20:$B$24)+Inputs!$B$21*Inputs!$B$25)))*Inputs!$B$29)-(MAX(0,((($A30*Inputs!$B$8*Inputs!$B$9*Inputs!$B$10)*B$22)-(($A30*Inputs!$B$8*Inputs!$B$9*Inputs!$B$10)*Inputs!$B$12*Inputs!$B$14+($A30*Inputs!$B$8*Inputs!$B$9)*Inputs!$B$12*Inputs!$B$15)-(($A30*Inputs!$B$8*Inputs!$B$9)*(Inputs!$B$16+Inputs!$B$17+Inputs!$B$18)+SUM(Inputs!$B$20:$B$24)+Inputs!$B$21*Inputs!$B$25))-(MAX(0,((($A30*Inputs!$B$8*Inputs!$B$9*Inputs!$B$10)*B$22)-(($A30*Inputs!$B$8*Inputs!$B$9*Inputs!$B$10)*Inputs!$B$12*Inputs!$B$14+($A30*Inputs!$B$8*Inputs!$B$9)*Inputs!$B$12*Inputs!$B$15)-(($A30*Inputs!$B$8*Inputs!$B$9)*(Inputs!$B$16+Inputs!$B$17+Inputs!$B$18)+SUM(Inputs!$B$20:$B$24)+Inputs!$B$21*Inputs!$B$25)))*Inputs!$B$29))*Inputs!$B$28)</x:f>
        <x:v>11306.717</x:v>
      </x:c>
      <x:c r="C30" s="122" t="n">
        <x:f>((($A30*Inputs!$B$8*Inputs!$B$9*Inputs!$B$10)*C$22)-(($A30*Inputs!$B$8*Inputs!$B$9*Inputs!$B$10)*Inputs!$B$12*Inputs!$B$14+($A30*Inputs!$B$8*Inputs!$B$9)*Inputs!$B$12*Inputs!$B$15)-(($A30*Inputs!$B$8*Inputs!$B$9)*(Inputs!$B$16+Inputs!$B$17+Inputs!$B$18)+SUM(Inputs!$B$20:$B$24)+Inputs!$B$21*Inputs!$B$25))-(MAX(0,((($A30*Inputs!$B$8*Inputs!$B$9*Inputs!$B$10)*C$22)-(($A30*Inputs!$B$8*Inputs!$B$9*Inputs!$B$10)*Inputs!$B$12*Inputs!$B$14+($A30*Inputs!$B$8*Inputs!$B$9)*Inputs!$B$12*Inputs!$B$15)-(($A30*Inputs!$B$8*Inputs!$B$9)*(Inputs!$B$16+Inputs!$B$17+Inputs!$B$18)+SUM(Inputs!$B$20:$B$24)+Inputs!$B$21*Inputs!$B$25)))*Inputs!$B$29)-(MAX(0,((($A30*Inputs!$B$8*Inputs!$B$9*Inputs!$B$10)*C$22)-(($A30*Inputs!$B$8*Inputs!$B$9*Inputs!$B$10)*Inputs!$B$12*Inputs!$B$14+($A30*Inputs!$B$8*Inputs!$B$9)*Inputs!$B$12*Inputs!$B$15)-(($A30*Inputs!$B$8*Inputs!$B$9)*(Inputs!$B$16+Inputs!$B$17+Inputs!$B$18)+SUM(Inputs!$B$20:$B$24)+Inputs!$B$21*Inputs!$B$25))-(MAX(0,((($A30*Inputs!$B$8*Inputs!$B$9*Inputs!$B$10)*C$22)-(($A30*Inputs!$B$8*Inputs!$B$9*Inputs!$B$10)*Inputs!$B$12*Inputs!$B$14+($A30*Inputs!$B$8*Inputs!$B$9)*Inputs!$B$12*Inputs!$B$15)-(($A30*Inputs!$B$8*Inputs!$B$9)*(Inputs!$B$16+Inputs!$B$17+Inputs!$B$18)+SUM(Inputs!$B$20:$B$24)+Inputs!$B$21*Inputs!$B$25)))*Inputs!$B$29))*Inputs!$B$28)</x:f>
        <x:v>23156.717</x:v>
      </x:c>
      <x:c r="D30" s="122" t="n">
        <x:f>((($A30*Inputs!$B$8*Inputs!$B$9*Inputs!$B$10)*D$22)-(($A30*Inputs!$B$8*Inputs!$B$9*Inputs!$B$10)*Inputs!$B$12*Inputs!$B$14+($A30*Inputs!$B$8*Inputs!$B$9)*Inputs!$B$12*Inputs!$B$15)-(($A30*Inputs!$B$8*Inputs!$B$9)*(Inputs!$B$16+Inputs!$B$17+Inputs!$B$18)+SUM(Inputs!$B$20:$B$24)+Inputs!$B$21*Inputs!$B$25))-(MAX(0,((($A30*Inputs!$B$8*Inputs!$B$9*Inputs!$B$10)*D$22)-(($A30*Inputs!$B$8*Inputs!$B$9*Inputs!$B$10)*Inputs!$B$12*Inputs!$B$14+($A30*Inputs!$B$8*Inputs!$B$9)*Inputs!$B$12*Inputs!$B$15)-(($A30*Inputs!$B$8*Inputs!$B$9)*(Inputs!$B$16+Inputs!$B$17+Inputs!$B$18)+SUM(Inputs!$B$20:$B$24)+Inputs!$B$21*Inputs!$B$25)))*Inputs!$B$29)-(MAX(0,((($A30*Inputs!$B$8*Inputs!$B$9*Inputs!$B$10)*D$22)-(($A30*Inputs!$B$8*Inputs!$B$9*Inputs!$B$10)*Inputs!$B$12*Inputs!$B$14+($A30*Inputs!$B$8*Inputs!$B$9)*Inputs!$B$12*Inputs!$B$15)-(($A30*Inputs!$B$8*Inputs!$B$9)*(Inputs!$B$16+Inputs!$B$17+Inputs!$B$18)+SUM(Inputs!$B$20:$B$24)+Inputs!$B$21*Inputs!$B$25))-(MAX(0,((($A30*Inputs!$B$8*Inputs!$B$9*Inputs!$B$10)*D$22)-(($A30*Inputs!$B$8*Inputs!$B$9*Inputs!$B$10)*Inputs!$B$12*Inputs!$B$14+($A30*Inputs!$B$8*Inputs!$B$9)*Inputs!$B$12*Inputs!$B$15)-(($A30*Inputs!$B$8*Inputs!$B$9)*(Inputs!$B$16+Inputs!$B$17+Inputs!$B$18)+SUM(Inputs!$B$20:$B$24)+Inputs!$B$21*Inputs!$B$25)))*Inputs!$B$29))*Inputs!$B$28)</x:f>
        <x:v>35006.717000000004</x:v>
      </x:c>
      <x:c r="E30" s="122" t="n">
        <x:f>((($A30*Inputs!$B$8*Inputs!$B$9*Inputs!$B$10)*E$22)-(($A30*Inputs!$B$8*Inputs!$B$9*Inputs!$B$10)*Inputs!$B$12*Inputs!$B$14+($A30*Inputs!$B$8*Inputs!$B$9)*Inputs!$B$12*Inputs!$B$15)-(($A30*Inputs!$B$8*Inputs!$B$9)*(Inputs!$B$16+Inputs!$B$17+Inputs!$B$18)+SUM(Inputs!$B$20:$B$24)+Inputs!$B$21*Inputs!$B$25))-(MAX(0,((($A30*Inputs!$B$8*Inputs!$B$9*Inputs!$B$10)*E$22)-(($A30*Inputs!$B$8*Inputs!$B$9*Inputs!$B$10)*Inputs!$B$12*Inputs!$B$14+($A30*Inputs!$B$8*Inputs!$B$9)*Inputs!$B$12*Inputs!$B$15)-(($A30*Inputs!$B$8*Inputs!$B$9)*(Inputs!$B$16+Inputs!$B$17+Inputs!$B$18)+SUM(Inputs!$B$20:$B$24)+Inputs!$B$21*Inputs!$B$25)))*Inputs!$B$29)-(MAX(0,((($A30*Inputs!$B$8*Inputs!$B$9*Inputs!$B$10)*E$22)-(($A30*Inputs!$B$8*Inputs!$B$9*Inputs!$B$10)*Inputs!$B$12*Inputs!$B$14+($A30*Inputs!$B$8*Inputs!$B$9)*Inputs!$B$12*Inputs!$B$15)-(($A30*Inputs!$B$8*Inputs!$B$9)*(Inputs!$B$16+Inputs!$B$17+Inputs!$B$18)+SUM(Inputs!$B$20:$B$24)+Inputs!$B$21*Inputs!$B$25))-(MAX(0,((($A30*Inputs!$B$8*Inputs!$B$9*Inputs!$B$10)*E$22)-(($A30*Inputs!$B$8*Inputs!$B$9*Inputs!$B$10)*Inputs!$B$12*Inputs!$B$14+($A30*Inputs!$B$8*Inputs!$B$9)*Inputs!$B$12*Inputs!$B$15)-(($A30*Inputs!$B$8*Inputs!$B$9)*(Inputs!$B$16+Inputs!$B$17+Inputs!$B$18)+SUM(Inputs!$B$20:$B$24)+Inputs!$B$21*Inputs!$B$25)))*Inputs!$B$29))*Inputs!$B$28)</x:f>
        <x:v>46856.717000000004</x:v>
      </x:c>
      <x:c r="F30" s="122" t="n">
        <x:f>((($A30*Inputs!$B$8*Inputs!$B$9*Inputs!$B$10)*F$22)-(($A30*Inputs!$B$8*Inputs!$B$9*Inputs!$B$10)*Inputs!$B$12*Inputs!$B$14+($A30*Inputs!$B$8*Inputs!$B$9)*Inputs!$B$12*Inputs!$B$15)-(($A30*Inputs!$B$8*Inputs!$B$9)*(Inputs!$B$16+Inputs!$B$17+Inputs!$B$18)+SUM(Inputs!$B$20:$B$24)+Inputs!$B$21*Inputs!$B$25))-(MAX(0,((($A30*Inputs!$B$8*Inputs!$B$9*Inputs!$B$10)*F$22)-(($A30*Inputs!$B$8*Inputs!$B$9*Inputs!$B$10)*Inputs!$B$12*Inputs!$B$14+($A30*Inputs!$B$8*Inputs!$B$9)*Inputs!$B$12*Inputs!$B$15)-(($A30*Inputs!$B$8*Inputs!$B$9)*(Inputs!$B$16+Inputs!$B$17+Inputs!$B$18)+SUM(Inputs!$B$20:$B$24)+Inputs!$B$21*Inputs!$B$25)))*Inputs!$B$29)-(MAX(0,((($A30*Inputs!$B$8*Inputs!$B$9*Inputs!$B$10)*F$22)-(($A30*Inputs!$B$8*Inputs!$B$9*Inputs!$B$10)*Inputs!$B$12*Inputs!$B$14+($A30*Inputs!$B$8*Inputs!$B$9)*Inputs!$B$12*Inputs!$B$15)-(($A30*Inputs!$B$8*Inputs!$B$9)*(Inputs!$B$16+Inputs!$B$17+Inputs!$B$18)+SUM(Inputs!$B$20:$B$24)+Inputs!$B$21*Inputs!$B$25))-(MAX(0,((($A30*Inputs!$B$8*Inputs!$B$9*Inputs!$B$10)*F$22)-(($A30*Inputs!$B$8*Inputs!$B$9*Inputs!$B$10)*Inputs!$B$12*Inputs!$B$14+($A30*Inputs!$B$8*Inputs!$B$9)*Inputs!$B$12*Inputs!$B$15)-(($A30*Inputs!$B$8*Inputs!$B$9)*(Inputs!$B$16+Inputs!$B$17+Inputs!$B$18)+SUM(Inputs!$B$20:$B$24)+Inputs!$B$21*Inputs!$B$25)))*Inputs!$B$29))*Inputs!$B$28)</x:f>
        <x:v>58706.717000000004</x:v>
      </x:c>
      <x:c r="G30" s="122" t="n">
        <x:f>((($A30*Inputs!$B$8*Inputs!$B$9*Inputs!$B$10)*G$22)-(($A30*Inputs!$B$8*Inputs!$B$9*Inputs!$B$10)*Inputs!$B$12*Inputs!$B$14+($A30*Inputs!$B$8*Inputs!$B$9)*Inputs!$B$12*Inputs!$B$15)-(($A30*Inputs!$B$8*Inputs!$B$9)*(Inputs!$B$16+Inputs!$B$17+Inputs!$B$18)+SUM(Inputs!$B$20:$B$24)+Inputs!$B$21*Inputs!$B$25))-(MAX(0,((($A30*Inputs!$B$8*Inputs!$B$9*Inputs!$B$10)*G$22)-(($A30*Inputs!$B$8*Inputs!$B$9*Inputs!$B$10)*Inputs!$B$12*Inputs!$B$14+($A30*Inputs!$B$8*Inputs!$B$9)*Inputs!$B$12*Inputs!$B$15)-(($A30*Inputs!$B$8*Inputs!$B$9)*(Inputs!$B$16+Inputs!$B$17+Inputs!$B$18)+SUM(Inputs!$B$20:$B$24)+Inputs!$B$21*Inputs!$B$25)))*Inputs!$B$29)-(MAX(0,((($A30*Inputs!$B$8*Inputs!$B$9*Inputs!$B$10)*G$22)-(($A30*Inputs!$B$8*Inputs!$B$9*Inputs!$B$10)*Inputs!$B$12*Inputs!$B$14+($A30*Inputs!$B$8*Inputs!$B$9)*Inputs!$B$12*Inputs!$B$15)-(($A30*Inputs!$B$8*Inputs!$B$9)*(Inputs!$B$16+Inputs!$B$17+Inputs!$B$18)+SUM(Inputs!$B$20:$B$24)+Inputs!$B$21*Inputs!$B$25))-(MAX(0,((($A30*Inputs!$B$8*Inputs!$B$9*Inputs!$B$10)*G$22)-(($A30*Inputs!$B$8*Inputs!$B$9*Inputs!$B$10)*Inputs!$B$12*Inputs!$B$14+($A30*Inputs!$B$8*Inputs!$B$9)*Inputs!$B$12*Inputs!$B$15)-(($A30*Inputs!$B$8*Inputs!$B$9)*(Inputs!$B$16+Inputs!$B$17+Inputs!$B$18)+SUM(Inputs!$B$20:$B$24)+Inputs!$B$21*Inputs!$B$25)))*Inputs!$B$29))*Inputs!$B$28)</x:f>
        <x:v>70556.717</x:v>
      </x:c>
      <x:c r="H30" s="122" t="n">
        <x:f>((($A30*Inputs!$B$8*Inputs!$B$9*Inputs!$B$10)*H$22)-(($A30*Inputs!$B$8*Inputs!$B$9*Inputs!$B$10)*Inputs!$B$12*Inputs!$B$14+($A30*Inputs!$B$8*Inputs!$B$9)*Inputs!$B$12*Inputs!$B$15)-(($A30*Inputs!$B$8*Inputs!$B$9)*(Inputs!$B$16+Inputs!$B$17+Inputs!$B$18)+SUM(Inputs!$B$20:$B$24)+Inputs!$B$21*Inputs!$B$25))-(MAX(0,((($A30*Inputs!$B$8*Inputs!$B$9*Inputs!$B$10)*H$22)-(($A30*Inputs!$B$8*Inputs!$B$9*Inputs!$B$10)*Inputs!$B$12*Inputs!$B$14+($A30*Inputs!$B$8*Inputs!$B$9)*Inputs!$B$12*Inputs!$B$15)-(($A30*Inputs!$B$8*Inputs!$B$9)*(Inputs!$B$16+Inputs!$B$17+Inputs!$B$18)+SUM(Inputs!$B$20:$B$24)+Inputs!$B$21*Inputs!$B$25)))*Inputs!$B$29)-(MAX(0,((($A30*Inputs!$B$8*Inputs!$B$9*Inputs!$B$10)*H$22)-(($A30*Inputs!$B$8*Inputs!$B$9*Inputs!$B$10)*Inputs!$B$12*Inputs!$B$14+($A30*Inputs!$B$8*Inputs!$B$9)*Inputs!$B$12*Inputs!$B$15)-(($A30*Inputs!$B$8*Inputs!$B$9)*(Inputs!$B$16+Inputs!$B$17+Inputs!$B$18)+SUM(Inputs!$B$20:$B$24)+Inputs!$B$21*Inputs!$B$25))-(MAX(0,((($A30*Inputs!$B$8*Inputs!$B$9*Inputs!$B$10)*H$22)-(($A30*Inputs!$B$8*Inputs!$B$9*Inputs!$B$10)*Inputs!$B$12*Inputs!$B$14+($A30*Inputs!$B$8*Inputs!$B$9)*Inputs!$B$12*Inputs!$B$15)-(($A30*Inputs!$B$8*Inputs!$B$9)*(Inputs!$B$16+Inputs!$B$17+Inputs!$B$18)+SUM(Inputs!$B$20:$B$24)+Inputs!$B$21*Inputs!$B$25)))*Inputs!$B$29))*Inputs!$B$28)</x:f>
        <x:v>82406.717</x:v>
      </x:c>
    </x:row>
    <x:row r="31">
      <x:c r="A31" s="142" t="n">
        <x:f>ROUND(Inputs!$B$7*5,0)</x:f>
        <x:v>250</x:v>
      </x:c>
      <x:c r="B31" s="122" t="n">
        <x:f>((($A31*Inputs!$B$8*Inputs!$B$9*Inputs!$B$10)*B$22)-(($A31*Inputs!$B$8*Inputs!$B$9*Inputs!$B$10)*Inputs!$B$12*Inputs!$B$14+($A31*Inputs!$B$8*Inputs!$B$9)*Inputs!$B$12*Inputs!$B$15)-(($A31*Inputs!$B$8*Inputs!$B$9)*(Inputs!$B$16+Inputs!$B$17+Inputs!$B$18)+SUM(Inputs!$B$20:$B$24)+Inputs!$B$21*Inputs!$B$25))-(MAX(0,((($A31*Inputs!$B$8*Inputs!$B$9*Inputs!$B$10)*B$22)-(($A31*Inputs!$B$8*Inputs!$B$9*Inputs!$B$10)*Inputs!$B$12*Inputs!$B$14+($A31*Inputs!$B$8*Inputs!$B$9)*Inputs!$B$12*Inputs!$B$15)-(($A31*Inputs!$B$8*Inputs!$B$9)*(Inputs!$B$16+Inputs!$B$17+Inputs!$B$18)+SUM(Inputs!$B$20:$B$24)+Inputs!$B$21*Inputs!$B$25)))*Inputs!$B$29)-(MAX(0,((($A31*Inputs!$B$8*Inputs!$B$9*Inputs!$B$10)*B$22)-(($A31*Inputs!$B$8*Inputs!$B$9*Inputs!$B$10)*Inputs!$B$12*Inputs!$B$14+($A31*Inputs!$B$8*Inputs!$B$9)*Inputs!$B$12*Inputs!$B$15)-(($A31*Inputs!$B$8*Inputs!$B$9)*(Inputs!$B$16+Inputs!$B$17+Inputs!$B$18)+SUM(Inputs!$B$20:$B$24)+Inputs!$B$21*Inputs!$B$25))-(MAX(0,((($A31*Inputs!$B$8*Inputs!$B$9*Inputs!$B$10)*B$22)-(($A31*Inputs!$B$8*Inputs!$B$9*Inputs!$B$10)*Inputs!$B$12*Inputs!$B$14+($A31*Inputs!$B$8*Inputs!$B$9)*Inputs!$B$12*Inputs!$B$15)-(($A31*Inputs!$B$8*Inputs!$B$9)*(Inputs!$B$16+Inputs!$B$17+Inputs!$B$18)+SUM(Inputs!$B$20:$B$24)+Inputs!$B$21*Inputs!$B$25)))*Inputs!$B$29))*Inputs!$B$28)</x:f>
        <x:v>21813.717</x:v>
      </x:c>
      <x:c r="C31" s="122" t="n">
        <x:f>((($A31*Inputs!$B$8*Inputs!$B$9*Inputs!$B$10)*C$22)-(($A31*Inputs!$B$8*Inputs!$B$9*Inputs!$B$10)*Inputs!$B$12*Inputs!$B$14+($A31*Inputs!$B$8*Inputs!$B$9)*Inputs!$B$12*Inputs!$B$15)-(($A31*Inputs!$B$8*Inputs!$B$9)*(Inputs!$B$16+Inputs!$B$17+Inputs!$B$18)+SUM(Inputs!$B$20:$B$24)+Inputs!$B$21*Inputs!$B$25))-(MAX(0,((($A31*Inputs!$B$8*Inputs!$B$9*Inputs!$B$10)*C$22)-(($A31*Inputs!$B$8*Inputs!$B$9*Inputs!$B$10)*Inputs!$B$12*Inputs!$B$14+($A31*Inputs!$B$8*Inputs!$B$9)*Inputs!$B$12*Inputs!$B$15)-(($A31*Inputs!$B$8*Inputs!$B$9)*(Inputs!$B$16+Inputs!$B$17+Inputs!$B$18)+SUM(Inputs!$B$20:$B$24)+Inputs!$B$21*Inputs!$B$25)))*Inputs!$B$29)-(MAX(0,((($A31*Inputs!$B$8*Inputs!$B$9*Inputs!$B$10)*C$22)-(($A31*Inputs!$B$8*Inputs!$B$9*Inputs!$B$10)*Inputs!$B$12*Inputs!$B$14+($A31*Inputs!$B$8*Inputs!$B$9)*Inputs!$B$12*Inputs!$B$15)-(($A31*Inputs!$B$8*Inputs!$B$9)*(Inputs!$B$16+Inputs!$B$17+Inputs!$B$18)+SUM(Inputs!$B$20:$B$24)+Inputs!$B$21*Inputs!$B$25))-(MAX(0,((($A31*Inputs!$B$8*Inputs!$B$9*Inputs!$B$10)*C$22)-(($A31*Inputs!$B$8*Inputs!$B$9*Inputs!$B$10)*Inputs!$B$12*Inputs!$B$14+($A31*Inputs!$B$8*Inputs!$B$9)*Inputs!$B$12*Inputs!$B$15)-(($A31*Inputs!$B$8*Inputs!$B$9)*(Inputs!$B$16+Inputs!$B$17+Inputs!$B$18)+SUM(Inputs!$B$20:$B$24)+Inputs!$B$21*Inputs!$B$25)))*Inputs!$B$29))*Inputs!$B$28)</x:f>
        <x:v>41563.717000000004</x:v>
      </x:c>
      <x:c r="D31" s="122" t="n">
        <x:f>((($A31*Inputs!$B$8*Inputs!$B$9*Inputs!$B$10)*D$22)-(($A31*Inputs!$B$8*Inputs!$B$9*Inputs!$B$10)*Inputs!$B$12*Inputs!$B$14+($A31*Inputs!$B$8*Inputs!$B$9)*Inputs!$B$12*Inputs!$B$15)-(($A31*Inputs!$B$8*Inputs!$B$9)*(Inputs!$B$16+Inputs!$B$17+Inputs!$B$18)+SUM(Inputs!$B$20:$B$24)+Inputs!$B$21*Inputs!$B$25))-(MAX(0,((($A31*Inputs!$B$8*Inputs!$B$9*Inputs!$B$10)*D$22)-(($A31*Inputs!$B$8*Inputs!$B$9*Inputs!$B$10)*Inputs!$B$12*Inputs!$B$14+($A31*Inputs!$B$8*Inputs!$B$9)*Inputs!$B$12*Inputs!$B$15)-(($A31*Inputs!$B$8*Inputs!$B$9)*(Inputs!$B$16+Inputs!$B$17+Inputs!$B$18)+SUM(Inputs!$B$20:$B$24)+Inputs!$B$21*Inputs!$B$25)))*Inputs!$B$29)-(MAX(0,((($A31*Inputs!$B$8*Inputs!$B$9*Inputs!$B$10)*D$22)-(($A31*Inputs!$B$8*Inputs!$B$9*Inputs!$B$10)*Inputs!$B$12*Inputs!$B$14+($A31*Inputs!$B$8*Inputs!$B$9)*Inputs!$B$12*Inputs!$B$15)-(($A31*Inputs!$B$8*Inputs!$B$9)*(Inputs!$B$16+Inputs!$B$17+Inputs!$B$18)+SUM(Inputs!$B$20:$B$24)+Inputs!$B$21*Inputs!$B$25))-(MAX(0,((($A31*Inputs!$B$8*Inputs!$B$9*Inputs!$B$10)*D$22)-(($A31*Inputs!$B$8*Inputs!$B$9*Inputs!$B$10)*Inputs!$B$12*Inputs!$B$14+($A31*Inputs!$B$8*Inputs!$B$9)*Inputs!$B$12*Inputs!$B$15)-(($A31*Inputs!$B$8*Inputs!$B$9)*(Inputs!$B$16+Inputs!$B$17+Inputs!$B$18)+SUM(Inputs!$B$20:$B$24)+Inputs!$B$21*Inputs!$B$25)))*Inputs!$B$29))*Inputs!$B$28)</x:f>
        <x:v>61313.717000000004</x:v>
      </x:c>
      <x:c r="E31" s="122" t="n">
        <x:f>((($A31*Inputs!$B$8*Inputs!$B$9*Inputs!$B$10)*E$22)-(($A31*Inputs!$B$8*Inputs!$B$9*Inputs!$B$10)*Inputs!$B$12*Inputs!$B$14+($A31*Inputs!$B$8*Inputs!$B$9)*Inputs!$B$12*Inputs!$B$15)-(($A31*Inputs!$B$8*Inputs!$B$9)*(Inputs!$B$16+Inputs!$B$17+Inputs!$B$18)+SUM(Inputs!$B$20:$B$24)+Inputs!$B$21*Inputs!$B$25))-(MAX(0,((($A31*Inputs!$B$8*Inputs!$B$9*Inputs!$B$10)*E$22)-(($A31*Inputs!$B$8*Inputs!$B$9*Inputs!$B$10)*Inputs!$B$12*Inputs!$B$14+($A31*Inputs!$B$8*Inputs!$B$9)*Inputs!$B$12*Inputs!$B$15)-(($A31*Inputs!$B$8*Inputs!$B$9)*(Inputs!$B$16+Inputs!$B$17+Inputs!$B$18)+SUM(Inputs!$B$20:$B$24)+Inputs!$B$21*Inputs!$B$25)))*Inputs!$B$29)-(MAX(0,((($A31*Inputs!$B$8*Inputs!$B$9*Inputs!$B$10)*E$22)-(($A31*Inputs!$B$8*Inputs!$B$9*Inputs!$B$10)*Inputs!$B$12*Inputs!$B$14+($A31*Inputs!$B$8*Inputs!$B$9)*Inputs!$B$12*Inputs!$B$15)-(($A31*Inputs!$B$8*Inputs!$B$9)*(Inputs!$B$16+Inputs!$B$17+Inputs!$B$18)+SUM(Inputs!$B$20:$B$24)+Inputs!$B$21*Inputs!$B$25))-(MAX(0,((($A31*Inputs!$B$8*Inputs!$B$9*Inputs!$B$10)*E$22)-(($A31*Inputs!$B$8*Inputs!$B$9*Inputs!$B$10)*Inputs!$B$12*Inputs!$B$14+($A31*Inputs!$B$8*Inputs!$B$9)*Inputs!$B$12*Inputs!$B$15)-(($A31*Inputs!$B$8*Inputs!$B$9)*(Inputs!$B$16+Inputs!$B$17+Inputs!$B$18)+SUM(Inputs!$B$20:$B$24)+Inputs!$B$21*Inputs!$B$25)))*Inputs!$B$29))*Inputs!$B$28)</x:f>
        <x:v>81063.717</x:v>
      </x:c>
      <x:c r="F31" s="122" t="n">
        <x:f>((($A31*Inputs!$B$8*Inputs!$B$9*Inputs!$B$10)*F$22)-(($A31*Inputs!$B$8*Inputs!$B$9*Inputs!$B$10)*Inputs!$B$12*Inputs!$B$14+($A31*Inputs!$B$8*Inputs!$B$9)*Inputs!$B$12*Inputs!$B$15)-(($A31*Inputs!$B$8*Inputs!$B$9)*(Inputs!$B$16+Inputs!$B$17+Inputs!$B$18)+SUM(Inputs!$B$20:$B$24)+Inputs!$B$21*Inputs!$B$25))-(MAX(0,((($A31*Inputs!$B$8*Inputs!$B$9*Inputs!$B$10)*F$22)-(($A31*Inputs!$B$8*Inputs!$B$9*Inputs!$B$10)*Inputs!$B$12*Inputs!$B$14+($A31*Inputs!$B$8*Inputs!$B$9)*Inputs!$B$12*Inputs!$B$15)-(($A31*Inputs!$B$8*Inputs!$B$9)*(Inputs!$B$16+Inputs!$B$17+Inputs!$B$18)+SUM(Inputs!$B$20:$B$24)+Inputs!$B$21*Inputs!$B$25)))*Inputs!$B$29)-(MAX(0,((($A31*Inputs!$B$8*Inputs!$B$9*Inputs!$B$10)*F$22)-(($A31*Inputs!$B$8*Inputs!$B$9*Inputs!$B$10)*Inputs!$B$12*Inputs!$B$14+($A31*Inputs!$B$8*Inputs!$B$9)*Inputs!$B$12*Inputs!$B$15)-(($A31*Inputs!$B$8*Inputs!$B$9)*(Inputs!$B$16+Inputs!$B$17+Inputs!$B$18)+SUM(Inputs!$B$20:$B$24)+Inputs!$B$21*Inputs!$B$25))-(MAX(0,((($A31*Inputs!$B$8*Inputs!$B$9*Inputs!$B$10)*F$22)-(($A31*Inputs!$B$8*Inputs!$B$9*Inputs!$B$10)*Inputs!$B$12*Inputs!$B$14+($A31*Inputs!$B$8*Inputs!$B$9)*Inputs!$B$12*Inputs!$B$15)-(($A31*Inputs!$B$8*Inputs!$B$9)*(Inputs!$B$16+Inputs!$B$17+Inputs!$B$18)+SUM(Inputs!$B$20:$B$24)+Inputs!$B$21*Inputs!$B$25)))*Inputs!$B$29))*Inputs!$B$28)</x:f>
        <x:v>100813.717</x:v>
      </x:c>
      <x:c r="G31" s="122" t="n">
        <x:f>((($A31*Inputs!$B$8*Inputs!$B$9*Inputs!$B$10)*G$22)-(($A31*Inputs!$B$8*Inputs!$B$9*Inputs!$B$10)*Inputs!$B$12*Inputs!$B$14+($A31*Inputs!$B$8*Inputs!$B$9)*Inputs!$B$12*Inputs!$B$15)-(($A31*Inputs!$B$8*Inputs!$B$9)*(Inputs!$B$16+Inputs!$B$17+Inputs!$B$18)+SUM(Inputs!$B$20:$B$24)+Inputs!$B$21*Inputs!$B$25))-(MAX(0,((($A31*Inputs!$B$8*Inputs!$B$9*Inputs!$B$10)*G$22)-(($A31*Inputs!$B$8*Inputs!$B$9*Inputs!$B$10)*Inputs!$B$12*Inputs!$B$14+($A31*Inputs!$B$8*Inputs!$B$9)*Inputs!$B$12*Inputs!$B$15)-(($A31*Inputs!$B$8*Inputs!$B$9)*(Inputs!$B$16+Inputs!$B$17+Inputs!$B$18)+SUM(Inputs!$B$20:$B$24)+Inputs!$B$21*Inputs!$B$25)))*Inputs!$B$29)-(MAX(0,((($A31*Inputs!$B$8*Inputs!$B$9*Inputs!$B$10)*G$22)-(($A31*Inputs!$B$8*Inputs!$B$9*Inputs!$B$10)*Inputs!$B$12*Inputs!$B$14+($A31*Inputs!$B$8*Inputs!$B$9)*Inputs!$B$12*Inputs!$B$15)-(($A31*Inputs!$B$8*Inputs!$B$9)*(Inputs!$B$16+Inputs!$B$17+Inputs!$B$18)+SUM(Inputs!$B$20:$B$24)+Inputs!$B$21*Inputs!$B$25))-(MAX(0,((($A31*Inputs!$B$8*Inputs!$B$9*Inputs!$B$10)*G$22)-(($A31*Inputs!$B$8*Inputs!$B$9*Inputs!$B$10)*Inputs!$B$12*Inputs!$B$14+($A31*Inputs!$B$8*Inputs!$B$9)*Inputs!$B$12*Inputs!$B$15)-(($A31*Inputs!$B$8*Inputs!$B$9)*(Inputs!$B$16+Inputs!$B$17+Inputs!$B$18)+SUM(Inputs!$B$20:$B$24)+Inputs!$B$21*Inputs!$B$25)))*Inputs!$B$29))*Inputs!$B$28)</x:f>
        <x:v>120563.71699999999</x:v>
      </x:c>
      <x:c r="H31" s="122" t="n">
        <x:f>((($A31*Inputs!$B$8*Inputs!$B$9*Inputs!$B$10)*H$22)-(($A31*Inputs!$B$8*Inputs!$B$9*Inputs!$B$10)*Inputs!$B$12*Inputs!$B$14+($A31*Inputs!$B$8*Inputs!$B$9)*Inputs!$B$12*Inputs!$B$15)-(($A31*Inputs!$B$8*Inputs!$B$9)*(Inputs!$B$16+Inputs!$B$17+Inputs!$B$18)+SUM(Inputs!$B$20:$B$24)+Inputs!$B$21*Inputs!$B$25))-(MAX(0,((($A31*Inputs!$B$8*Inputs!$B$9*Inputs!$B$10)*H$22)-(($A31*Inputs!$B$8*Inputs!$B$9*Inputs!$B$10)*Inputs!$B$12*Inputs!$B$14+($A31*Inputs!$B$8*Inputs!$B$9)*Inputs!$B$12*Inputs!$B$15)-(($A31*Inputs!$B$8*Inputs!$B$9)*(Inputs!$B$16+Inputs!$B$17+Inputs!$B$18)+SUM(Inputs!$B$20:$B$24)+Inputs!$B$21*Inputs!$B$25)))*Inputs!$B$29)-(MAX(0,((($A31*Inputs!$B$8*Inputs!$B$9*Inputs!$B$10)*H$22)-(($A31*Inputs!$B$8*Inputs!$B$9*Inputs!$B$10)*Inputs!$B$12*Inputs!$B$14+($A31*Inputs!$B$8*Inputs!$B$9)*Inputs!$B$12*Inputs!$B$15)-(($A31*Inputs!$B$8*Inputs!$B$9)*(Inputs!$B$16+Inputs!$B$17+Inputs!$B$18)+SUM(Inputs!$B$20:$B$24)+Inputs!$B$21*Inputs!$B$25))-(MAX(0,((($A31*Inputs!$B$8*Inputs!$B$9*Inputs!$B$10)*H$22)-(($A31*Inputs!$B$8*Inputs!$B$9*Inputs!$B$10)*Inputs!$B$12*Inputs!$B$14+($A31*Inputs!$B$8*Inputs!$B$9)*Inputs!$B$12*Inputs!$B$15)-(($A31*Inputs!$B$8*Inputs!$B$9)*(Inputs!$B$16+Inputs!$B$17+Inputs!$B$18)+SUM(Inputs!$B$20:$B$24)+Inputs!$B$21*Inputs!$B$25)))*Inputs!$B$29))*Inputs!$B$28)</x:f>
        <x:v>140313.717</x:v>
      </x:c>
    </x:row>
    <x:row r="33">
      <x:c r="A33" s="170" t="str">
        <x:v>HOW TO READ THIS: Rows change the number of drivers relative to your input; columns change your commission. All other assumptions are fixed. Redder cells show weaker economics; greener cells indicate higher modeled profit.</x:v>
      </x:c>
      <x:c r="B33" s="170"/>
      <x:c r="C33" s="170"/>
      <x:c r="D33" s="170"/>
      <x:c r="E33" s="170"/>
      <x:c r="F33" s="170"/>
      <x:c r="G33" s="170"/>
      <x:c r="H33" s="170"/>
      <x:c r="I33" s="170"/>
      <x:c r="J33" s="170"/>
      <x:c r="K33" s="170"/>
    </x:row>
    <x:row r="34">
      <x:c r="A34" s="170"/>
      <x:c r="B34" s="170"/>
      <x:c r="C34" s="170"/>
      <x:c r="D34" s="170"/>
      <x:c r="E34" s="170"/>
      <x:c r="F34" s="170"/>
      <x:c r="G34" s="170"/>
      <x:c r="H34" s="170"/>
      <x:c r="I34" s="170"/>
      <x:c r="J34" s="170"/>
      <x:c r="K34" s="170"/>
    </x:row>
  </x:sheetData>
  <x:mergeCells>
    <x:mergeCell ref="A1:K2"/>
    <x:mergeCell ref="A3:K3"/>
    <x:mergeCell ref="A5:K5"/>
    <x:mergeCell ref="A19:K19"/>
    <x:mergeCell ref="A21:A22"/>
    <x:mergeCell ref="A33:K34"/>
  </x:mergeCells>
  <x:conditionalFormatting sqref="J8:J16">
    <x:cfRule type="dataBar" priority="1">
      <x:dataBar>
        <x:cfvo type="min"/>
        <x:cfvo type="max"/>
        <x:color rgb="FF0B9B8B"/>
      </x:dataBar>
      <x:extLst>
        <x:ext xmlns:x14="http://schemas.microsoft.com/office/spreadsheetml/2009/9/main" uri="{B025F937-C7B1-47D3-B67F-A62EFF666E3E}">
          <x14:id>{7DF514A0-721D-5DFA-A703-0A8DA8E6CACA}</x14:id>
        </x:ext>
      </x:extLst>
    </x:cfRule>
  </x:conditionalFormatting>
  <x:conditionalFormatting sqref="B23:H31">
    <x:cfRule type="colorScale" priority="2">
      <x:colorScale>
        <x:cfvo type="min"/>
        <x:cfvo type="percentile" val="50"/>
        <x:cfvo type="max"/>
        <x:color rgb="FFFEE2E2"/>
        <x:color rgb="FFFFF5E6"/>
        <x:color rgb="FFB4E4D8"/>
      </x:colorScale>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0B9B8B"/>
            </x14:dataBar>
          </x14:cfRule>
          <xm:sqref>J8:J16</xm:sqref>
        </x14:conditionalFormatting>
      </x14:conditionalFormattings>
    </x:ext>
  </x:extLst>
</x:worksheet>
</file>

<file path=xl/worksheets/sheet6.xml><?xml version="1.0" encoding="utf-8"?>
<x:worksheet xmlns:x="http://schemas.openxmlformats.org/spreadsheetml/2006/main">
  <x:sheetFormatPr defaultRowHeight="15"/>
  <x:cols>
    <x:col min="1" max="1" width="7"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21" hidden="0" customWidth="1"/>
  </x:cols>
  <x:sheetData>
    <x:row r="1" ht="23" customHeight="1">
      <x:c r="A1" s="4" t="str">
        <x:v>QUICK START   /   READ BEFORE USING</x:v>
      </x:c>
      <x:c r="B1" s="4"/>
      <x:c r="C1" s="4"/>
      <x:c r="D1" s="4"/>
      <x:c r="E1" s="4"/>
      <x:c r="F1" s="4"/>
      <x:c r="G1" s="4"/>
      <x:c r="H1" s="4"/>
    </x:row>
    <x:row r="2" ht="23" customHeight="1">
      <x:c r="A2" s="4"/>
      <x:c r="B2" s="4"/>
      <x:c r="C2" s="4"/>
      <x:c r="D2" s="4"/>
      <x:c r="E2" s="4"/>
      <x:c r="F2" s="4"/>
      <x:c r="G2" s="4"/>
      <x:c r="H2" s="4"/>
    </x:row>
    <x:row r="3" ht="27" customHeight="1">
      <x:c r="A3" s="10" t="str">
        <x:v>Step-by-step instructions, assumptions, and cautions for your rideshare business model</x:v>
      </x:c>
      <x:c r="B3" s="10"/>
      <x:c r="C3" s="10"/>
      <x:c r="D3" s="10"/>
      <x:c r="E3" s="10"/>
      <x:c r="F3" s="10"/>
      <x:c r="G3" s="10"/>
      <x:c r="H3" s="10"/>
    </x:row>
    <x:row r="5" ht="24" customHeight="1">
      <x:c r="A5" s="22" t="str">
        <x:v>HOW TO USE THE MODEL</x:v>
      </x:c>
      <x:c r="B5" s="22"/>
      <x:c r="C5" s="22"/>
      <x:c r="D5" s="22"/>
      <x:c r="E5" s="22"/>
      <x:c r="F5" s="22"/>
      <x:c r="G5" s="22"/>
      <x:c r="H5" s="22"/>
    </x:row>
    <x:row r="7">
      <x:c r="A7" s="521" t="str">
        <x:v>01</x:v>
      </x:c>
      <x:c r="B7" s="528" t="str">
        <x:v>Open the Inputs sheet. Change the YELLOW cells containing BLUE values.</x:v>
      </x:c>
      <x:c r="C7" s="528"/>
      <x:c r="D7" s="528"/>
      <x:c r="E7" s="528"/>
      <x:c r="F7" s="528"/>
      <x:c r="G7" s="528"/>
      <x:c r="H7" s="528"/>
    </x:row>
    <x:row r="8">
      <x:c r="B8" s="528"/>
      <x:c r="C8" s="528"/>
      <x:c r="D8" s="528"/>
      <x:c r="E8" s="528"/>
      <x:c r="F8" s="528"/>
      <x:c r="G8" s="528"/>
      <x:c r="H8" s="528"/>
    </x:row>
    <x:row r="9">
      <x:c r="A9" s="521" t="str">
        <x:v>02</x:v>
      </x:c>
      <x:c r="B9" s="528" t="str">
        <x:v>Set your active drivers, rides/day, days/month, average fare and commission.</x:v>
      </x:c>
      <x:c r="C9" s="528"/>
      <x:c r="D9" s="528"/>
      <x:c r="E9" s="528"/>
      <x:c r="F9" s="528"/>
      <x:c r="G9" s="528"/>
      <x:c r="H9" s="528"/>
    </x:row>
    <x:row r="10">
      <x:c r="B10" s="528"/>
      <x:c r="C10" s="528"/>
      <x:c r="D10" s="528"/>
      <x:c r="E10" s="528"/>
      <x:c r="F10" s="528"/>
      <x:c r="G10" s="528"/>
      <x:c r="H10" s="528"/>
    </x:row>
    <x:row r="11">
      <x:c r="A11" s="521" t="str">
        <x:v>03</x:v>
      </x:c>
      <x:c r="B11" s="528" t="str">
        <x:v>Enter your actual payment processing and driver payout fees from a signed contract.</x:v>
      </x:c>
      <x:c r="C11" s="528"/>
      <x:c r="D11" s="528"/>
      <x:c r="E11" s="528"/>
      <x:c r="F11" s="528"/>
      <x:c r="G11" s="528"/>
      <x:c r="H11" s="528"/>
    </x:row>
    <x:row r="12">
      <x:c r="B12" s="528"/>
      <x:c r="C12" s="528"/>
      <x:c r="D12" s="528"/>
      <x:c r="E12" s="528"/>
      <x:c r="F12" s="528"/>
      <x:c r="G12" s="528"/>
      <x:c r="H12" s="528"/>
    </x:row>
    <x:row r="13">
      <x:c r="A13" s="521" t="str">
        <x:v>04</x:v>
      </x:c>
      <x:c r="B13" s="528" t="str">
        <x:v>Add real operating costs and state / federal corporate tax assumptions.</x:v>
      </x:c>
      <x:c r="C13" s="528"/>
      <x:c r="D13" s="528"/>
      <x:c r="E13" s="528"/>
      <x:c r="F13" s="528"/>
      <x:c r="G13" s="528"/>
      <x:c r="H13" s="528"/>
    </x:row>
    <x:row r="14">
      <x:c r="B14" s="528"/>
      <x:c r="C14" s="528"/>
      <x:c r="D14" s="528"/>
      <x:c r="E14" s="528"/>
      <x:c r="F14" s="528"/>
      <x:c r="G14" s="528"/>
      <x:c r="H14" s="528"/>
    </x:row>
    <x:row r="15">
      <x:c r="A15" s="521" t="str">
        <x:v>05</x:v>
      </x:c>
      <x:c r="B15" s="528" t="str">
        <x:v>Return to Dashboard to see monthly totals and graphs update automatically.</x:v>
      </x:c>
      <x:c r="C15" s="528"/>
      <x:c r="D15" s="528"/>
      <x:c r="E15" s="528"/>
      <x:c r="F15" s="528"/>
      <x:c r="G15" s="528"/>
      <x:c r="H15" s="528"/>
    </x:row>
    <x:row r="16">
      <x:c r="B16" s="528"/>
      <x:c r="C16" s="528"/>
      <x:c r="D16" s="528"/>
      <x:c r="E16" s="528"/>
      <x:c r="F16" s="528"/>
      <x:c r="G16" s="528"/>
      <x:c r="H16" s="528"/>
    </x:row>
    <x:row r="17">
      <x:c r="A17" s="521" t="str">
        <x:v>06</x:v>
      </x:c>
      <x:c r="B17" s="528" t="str">
        <x:v>Use the 12-Month Forecast and Sensitivity sheets to explore growth and commission rates.</x:v>
      </x:c>
      <x:c r="C17" s="528"/>
      <x:c r="D17" s="528"/>
      <x:c r="E17" s="528"/>
      <x:c r="F17" s="528"/>
      <x:c r="G17" s="528"/>
      <x:c r="H17" s="528"/>
    </x:row>
    <x:row r="18">
      <x:c r="B18" s="528"/>
      <x:c r="C18" s="528"/>
      <x:c r="D18" s="528"/>
      <x:c r="E18" s="528"/>
      <x:c r="F18" s="528"/>
      <x:c r="G18" s="528"/>
      <x:c r="H18" s="528"/>
    </x:row>
    <x:row r="20" ht="24" customHeight="1">
      <x:c r="A20" s="22" t="str">
        <x:v>KEY FORMULAS / WHAT COUNTS AS YOUR EARNINGS</x:v>
      </x:c>
      <x:c r="B20" s="22"/>
      <x:c r="C20" s="22"/>
      <x:c r="D20" s="22"/>
      <x:c r="E20" s="22"/>
      <x:c r="F20" s="22"/>
      <x:c r="G20" s="22"/>
      <x:c r="H20" s="22"/>
    </x:row>
    <x:row r="22">
      <x:c r="B22" s="532" t="str">
        <x:v>Total passenger fares</x:v>
      </x:c>
      <x:c r="C22" s="532"/>
      <x:c r="D22" s="535" t="str">
        <x:v>Drivers × rides/day × active days/month × average fare</x:v>
      </x:c>
      <x:c r="E22" s="535"/>
      <x:c r="F22" s="535"/>
      <x:c r="G22" s="535"/>
      <x:c r="H22" s="535"/>
    </x:row>
    <x:row r="24">
      <x:c r="B24" s="532" t="str">
        <x:v>Company gross commission</x:v>
      </x:c>
      <x:c r="C24" s="532"/>
      <x:c r="D24" s="535" t="str">
        <x:v>Passenger fares × company commission %</x:v>
      </x:c>
      <x:c r="E24" s="535"/>
      <x:c r="F24" s="535"/>
      <x:c r="G24" s="535"/>
      <x:c r="H24" s="535"/>
    </x:row>
    <x:row r="26">
      <x:c r="B26" s="532" t="str">
        <x:v>Driver fare share</x:v>
      </x:c>
      <x:c r="C26" s="532"/>
      <x:c r="D26" s="535" t="str">
        <x:v>Passenger fares × (1 − company commission %)</x:v>
      </x:c>
      <x:c r="E26" s="535"/>
      <x:c r="F26" s="535"/>
      <x:c r="G26" s="535"/>
      <x:c r="H26" s="535"/>
    </x:row>
    <x:row r="28">
      <x:c r="B28" s="532" t="str">
        <x:v>Operating profit</x:v>
      </x:c>
      <x:c r="C28" s="532"/>
      <x:c r="D28" s="535" t="str">
        <x:v>Company commission − payment fees − ride costs − other overheads</x:v>
      </x:c>
      <x:c r="E28" s="535"/>
      <x:c r="F28" s="535"/>
      <x:c r="G28" s="535"/>
      <x:c r="H28" s="535"/>
    </x:row>
    <x:row r="30">
      <x:c r="B30" s="532" t="str">
        <x:v>After-tax company earnings</x:v>
      </x:c>
      <x:c r="C30" s="532"/>
      <x:c r="D30" s="535" t="str">
        <x:v>Operating profit − modeled state &amp; federal corporate income taxes</x:v>
      </x:c>
      <x:c r="E30" s="535"/>
      <x:c r="F30" s="535"/>
      <x:c r="G30" s="535"/>
      <x:c r="H30" s="535"/>
    </x:row>
    <x:row r="33" ht="24" customHeight="1">
      <x:c r="A33" s="22" t="str">
        <x:v>SOURCE NOTES &amp; IMPORTANT LIMITATIONS</x:v>
      </x:c>
      <x:c r="B33" s="22"/>
      <x:c r="C33" s="22"/>
      <x:c r="D33" s="22"/>
      <x:c r="E33" s="22"/>
      <x:c r="F33" s="22"/>
      <x:c r="G33" s="22"/>
      <x:c r="H33" s="22"/>
    </x:row>
    <x:row r="35" ht="28" customHeight="1">
      <x:c r="B35" s="539" t="str">
        <x:v>MSC-Partner-Deck.pdf (provided by user), page 3: standard card price listed as 2.6% + $0.15; merchants over $250K/year receive custom rates.</x:v>
      </x:c>
      <x:c r="C35" s="539"/>
      <x:c r="D35" s="539"/>
      <x:c r="E35" s="539"/>
      <x:c r="F35" s="539"/>
      <x:c r="G35" s="539"/>
      <x:c r="H35" s="539"/>
    </x:row>
    <x:row r="36" ht="28" customHeight="1">
      <x:c r="B36" s="539" t="str">
        <x:v>MSC-Partner-Deck.pdf, pages 6–7: embedded-payments / PayFac options; no confirmed ride-hailing card rate or driver split-payout fees.</x:v>
      </x:c>
      <x:c r="C36" s="539"/>
      <x:c r="D36" s="539"/>
      <x:c r="E36" s="539"/>
      <x:c r="F36" s="539"/>
      <x:c r="G36" s="539"/>
      <x:c r="H36" s="539"/>
    </x:row>
    <x:row r="37" ht="28" customHeight="1">
      <x:c r="B37" s="539" t="str">
        <x:v>U.S. federal C-corporation tax assumption 21%; confirm current law and your actual tax entity with a U.S. CPA.</x:v>
      </x:c>
      <x:c r="C37" s="539"/>
      <x:c r="D37" s="539"/>
      <x:c r="E37" s="539"/>
      <x:c r="F37" s="539"/>
      <x:c r="G37" s="539"/>
      <x:c r="H37" s="539"/>
    </x:row>
    <x:row r="38" ht="28" customHeight="1">
      <x:c r="B38" s="539" t="str">
        <x:v>Model computes state tax on positive monthly pretax profit, then applies federal rate after modeled state tax. Real tax calculations are more complex.</x:v>
      </x:c>
      <x:c r="C38" s="539"/>
      <x:c r="D38" s="539"/>
      <x:c r="E38" s="539"/>
      <x:c r="F38" s="539"/>
      <x:c r="G38" s="539"/>
      <x:c r="H38" s="539"/>
    </x:row>
    <x:row r="39" ht="28" customHeight="1">
      <x:c r="B39" s="539" t="str">
        <x:v>The platform's commission is not automatically its taxable profit. State/municipal per-trip taxes and employee classification can change outcomes.</x:v>
      </x:c>
      <x:c r="C39" s="539"/>
      <x:c r="D39" s="539"/>
      <x:c r="E39" s="539"/>
      <x:c r="F39" s="539"/>
      <x:c r="G39" s="539"/>
      <x:c r="H39" s="539"/>
    </x:row>
    <x:row r="40" ht="28" customHeight="1">
      <x:c r="B40" s="539" t="str">
        <x:v>All unlabeled operational default costs and trip assumptions are editable illustrative starting values, not quotations.</x:v>
      </x:c>
      <x:c r="C40" s="539"/>
      <x:c r="D40" s="539"/>
      <x:c r="E40" s="539"/>
      <x:c r="F40" s="539"/>
      <x:c r="G40" s="539"/>
      <x:c r="H40" s="539"/>
    </x:row>
    <x:row r="41" ht="28" customHeight="1">
      <x:c r="B41" s="539" t="str">
        <x:v>Slide-like bars in Inputs are VISUAL INDICATORS, not draggable Excel controls. To change a number, edit the adjacent blue/yellow cell.</x:v>
      </x:c>
      <x:c r="C41" s="539"/>
      <x:c r="D41" s="539"/>
      <x:c r="E41" s="539"/>
      <x:c r="F41" s="539"/>
      <x:c r="G41" s="539"/>
      <x:c r="H41" s="539"/>
    </x:row>
    <x:row r="43">
      <x:c r="B43" s="542" t="str">
        <x:v>REFERENCE   https://www.irs.gov/businesses/small-businesses-self-employed/corporations</x:v>
      </x:c>
      <x:c r="C43" s="542"/>
      <x:c r="D43" s="542"/>
      <x:c r="E43" s="542"/>
      <x:c r="F43" s="542"/>
      <x:c r="G43" s="542"/>
      <x:c r="H43" s="542"/>
    </x:row>
  </x:sheetData>
  <x:mergeCells>
    <x:mergeCell ref="A1:H2"/>
    <x:mergeCell ref="A3:H3"/>
    <x:mergeCell ref="A5:H5"/>
    <x:mergeCell ref="B7:H8"/>
    <x:mergeCell ref="B9:H10"/>
    <x:mergeCell ref="B11:H12"/>
    <x:mergeCell ref="B13:H14"/>
    <x:mergeCell ref="B15:H16"/>
    <x:mergeCell ref="B17:H18"/>
    <x:mergeCell ref="A20:H20"/>
    <x:mergeCell ref="B22:C22"/>
    <x:mergeCell ref="D22:H22"/>
    <x:mergeCell ref="B24:C24"/>
    <x:mergeCell ref="D24:H24"/>
    <x:mergeCell ref="B26:C26"/>
    <x:mergeCell ref="D26:H26"/>
    <x:mergeCell ref="B28:C28"/>
    <x:mergeCell ref="D28:H28"/>
    <x:mergeCell ref="B30:C30"/>
    <x:mergeCell ref="D30:H30"/>
    <x:mergeCell ref="A33:H33"/>
    <x:mergeCell ref="B35:H35"/>
    <x:mergeCell ref="B36:H36"/>
    <x:mergeCell ref="B37:H37"/>
    <x:mergeCell ref="B38:H38"/>
    <x:mergeCell ref="B39:H39"/>
    <x:mergeCell ref="B40:H40"/>
    <x:mergeCell ref="B41:H41"/>
    <x:mergeCell ref="B43:H43"/>
  </x:mergeCells>
  <x:pageMargins left="0.7" right="0.7" top="0.75" bottom="0.75" header="0.3" footer="0.3"/>
</x:worksheet>
</file>